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 Ledger" sheetId="1" state="visible" r:id="rId3"/>
    <sheet name="Raja" sheetId="2" state="visible" r:id="rId4"/>
    <sheet name="Santhu" sheetId="3" state="visible" r:id="rId5"/>
    <sheet name="Annadhanam" sheetId="4" state="visible" r:id="rId6"/>
    <sheet name="Final Total" sheetId="5" state="visible" r:id="rId7"/>
  </sheets>
  <definedNames>
    <definedName function="false" hidden="false" localSheetId="0" name="_xlnm.Print_Area" vbProcedure="false">'Combined Ledger'!$A$1:$G$97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<sst xmlns="http://schemas.openxmlformats.org/spreadsheetml/2006/main" count="379" uniqueCount="162">
  <si>
    <t xml:space="preserve">COMBINED LEDGER - Raja, Santhu &amp; Annadhanam</t>
  </si>
  <si>
    <t xml:space="preserve">TOTAL INCOME</t>
  </si>
  <si>
    <t xml:space="preserve">TOTAL EXPENDITURE</t>
  </si>
  <si>
    <t xml:space="preserve">NET BALANCE = TOTAL INCOME − TOTAL EXPENDITURE</t>
  </si>
  <si>
    <t xml:space="preserve">INCOME</t>
  </si>
  <si>
    <t xml:space="preserve">EXPENDITURE</t>
  </si>
  <si>
    <t xml:space="preserve">S.No</t>
  </si>
  <si>
    <t xml:space="preserve">Particulars</t>
  </si>
  <si>
    <t xml:space="preserve">Amount (Rs.)</t>
  </si>
  <si>
    <t xml:space="preserve">last year balance</t>
  </si>
  <si>
    <t xml:space="preserve">stationary</t>
  </si>
  <si>
    <t xml:space="preserve">vamsi lighting</t>
  </si>
  <si>
    <t xml:space="preserve">kumari mam</t>
  </si>
  <si>
    <t xml:space="preserve">(no description in source)</t>
  </si>
  <si>
    <t xml:space="preserve">raja</t>
  </si>
  <si>
    <t xml:space="preserve">small poola mala</t>
  </si>
  <si>
    <t xml:space="preserve">tarun</t>
  </si>
  <si>
    <t xml:space="preserve">colours</t>
  </si>
  <si>
    <t xml:space="preserve">ravi</t>
  </si>
  <si>
    <t xml:space="preserve">police</t>
  </si>
  <si>
    <t xml:space="preserve">sampath</t>
  </si>
  <si>
    <t xml:space="preserve">venu annaya</t>
  </si>
  <si>
    <t xml:space="preserve">karthik</t>
  </si>
  <si>
    <t xml:space="preserve">vinay</t>
  </si>
  <si>
    <t xml:space="preserve">hemant ch</t>
  </si>
  <si>
    <t xml:space="preserve">sai syam</t>
  </si>
  <si>
    <t xml:space="preserve">plates</t>
  </si>
  <si>
    <t xml:space="preserve">vamsi</t>
  </si>
  <si>
    <t xml:space="preserve">bottle for anand maya</t>
  </si>
  <si>
    <t xml:space="preserve">projector</t>
  </si>
  <si>
    <t xml:space="preserve">potanna</t>
  </si>
  <si>
    <t xml:space="preserve">mill</t>
  </si>
  <si>
    <t xml:space="preserve">radeshyam</t>
  </si>
  <si>
    <t xml:space="preserve">dummy</t>
  </si>
  <si>
    <t xml:space="preserve">neelareddy</t>
  </si>
  <si>
    <t xml:space="preserve">congo cash final</t>
  </si>
  <si>
    <t xml:space="preserve">bujji brother</t>
  </si>
  <si>
    <t xml:space="preserve">t shits</t>
  </si>
  <si>
    <t xml:space="preserve">rouhula satish</t>
  </si>
  <si>
    <t xml:space="preserve">hundi</t>
  </si>
  <si>
    <t xml:space="preserve">crackers</t>
  </si>
  <si>
    <t xml:space="preserve">rama chandra rao</t>
  </si>
  <si>
    <t xml:space="preserve">poolamala</t>
  </si>
  <si>
    <t xml:space="preserve">chilla brothers</t>
  </si>
  <si>
    <t xml:space="preserve">deisel</t>
  </si>
  <si>
    <t xml:space="preserve">vamsi amount</t>
  </si>
  <si>
    <t xml:space="preserve">malkapuram</t>
  </si>
  <si>
    <t xml:space="preserve">petrol</t>
  </si>
  <si>
    <t xml:space="preserve">polamamba aamount</t>
  </si>
  <si>
    <t xml:space="preserve">dj</t>
  </si>
  <si>
    <t xml:space="preserve">banner</t>
  </si>
  <si>
    <t xml:space="preserve">1st sep chanda book</t>
  </si>
  <si>
    <t xml:space="preserve">k vamsi</t>
  </si>
  <si>
    <t xml:space="preserve">2nd sep chanda book</t>
  </si>
  <si>
    <t xml:space="preserve">3rd sep chanda book</t>
  </si>
  <si>
    <t xml:space="preserve">elec</t>
  </si>
  <si>
    <t xml:space="preserve">5th sep chanda book</t>
  </si>
  <si>
    <t xml:space="preserve">small banner</t>
  </si>
  <si>
    <t xml:space="preserve">6th sep chanda book</t>
  </si>
  <si>
    <t xml:space="preserve">panthulu</t>
  </si>
  <si>
    <t xml:space="preserve">7th sep chanda book</t>
  </si>
  <si>
    <t xml:space="preserve">coconuts</t>
  </si>
  <si>
    <t xml:space="preserve">sweets</t>
  </si>
  <si>
    <t xml:space="preserve">kumar</t>
  </si>
  <si>
    <t xml:space="preserve">t shirts</t>
  </si>
  <si>
    <t xml:space="preserve">siva annaya</t>
  </si>
  <si>
    <t xml:space="preserve">riksahw</t>
  </si>
  <si>
    <t xml:space="preserve">avinash</t>
  </si>
  <si>
    <t xml:space="preserve">water</t>
  </si>
  <si>
    <t xml:space="preserve">narendra</t>
  </si>
  <si>
    <t xml:space="preserve">brinjal</t>
  </si>
  <si>
    <t xml:space="preserve">kishore</t>
  </si>
  <si>
    <t xml:space="preserve">onions</t>
  </si>
  <si>
    <t xml:space="preserve">cutting auntys</t>
  </si>
  <si>
    <t xml:space="preserve">kanduvalu</t>
  </si>
  <si>
    <t xml:space="preserve">bangaram</t>
  </si>
  <si>
    <t xml:space="preserve">drinks</t>
  </si>
  <si>
    <t xml:space="preserve">hemanth maddi</t>
  </si>
  <si>
    <t xml:space="preserve">gas</t>
  </si>
  <si>
    <t xml:space="preserve">jaswanth</t>
  </si>
  <si>
    <t xml:space="preserve">committee danda</t>
  </si>
  <si>
    <t xml:space="preserve">punith</t>
  </si>
  <si>
    <t xml:space="preserve">karralu</t>
  </si>
  <si>
    <t xml:space="preserve">missleanous</t>
  </si>
  <si>
    <t xml:space="preserve">rubbulu</t>
  </si>
  <si>
    <t xml:space="preserve">mstri sreenu</t>
  </si>
  <si>
    <t xml:space="preserve">water packets</t>
  </si>
  <si>
    <t xml:space="preserve">ramu garu</t>
  </si>
  <si>
    <t xml:space="preserve">mtr masala</t>
  </si>
  <si>
    <t xml:space="preserve">jyothi</t>
  </si>
  <si>
    <t xml:space="preserve">kolli sreenu</t>
  </si>
  <si>
    <t xml:space="preserve">workers</t>
  </si>
  <si>
    <t xml:space="preserve">ch syam</t>
  </si>
  <si>
    <t xml:space="preserve">hemant</t>
  </si>
  <si>
    <t xml:space="preserve">gudla polamma</t>
  </si>
  <si>
    <t xml:space="preserve">rikasw</t>
  </si>
  <si>
    <t xml:space="preserve">raji</t>
  </si>
  <si>
    <t xml:space="preserve">advance to laddu</t>
  </si>
  <si>
    <t xml:space="preserve">brand to brand</t>
  </si>
  <si>
    <t xml:space="preserve">sangam samanlu</t>
  </si>
  <si>
    <t xml:space="preserve">ravi sir</t>
  </si>
  <si>
    <t xml:space="preserve">madhu mangaraju</t>
  </si>
  <si>
    <t xml:space="preserve">samiyana</t>
  </si>
  <si>
    <t xml:space="preserve">seerapu ganesh</t>
  </si>
  <si>
    <t xml:space="preserve">kolatam</t>
  </si>
  <si>
    <t xml:space="preserve">ramana reddy</t>
  </si>
  <si>
    <t xml:space="preserve">kamesh</t>
  </si>
  <si>
    <t xml:space="preserve">poola mala</t>
  </si>
  <si>
    <t xml:space="preserve">madhavi lic</t>
  </si>
  <si>
    <t xml:space="preserve">diesel</t>
  </si>
  <si>
    <t xml:space="preserve">puli shiva</t>
  </si>
  <si>
    <t xml:space="preserve">congo mandhu</t>
  </si>
  <si>
    <t xml:space="preserve">niddarabingi ramakrishna</t>
  </si>
  <si>
    <t xml:space="preserve">panthulu clear</t>
  </si>
  <si>
    <t xml:space="preserve">jeevan priya</t>
  </si>
  <si>
    <t xml:space="preserve">harshini</t>
  </si>
  <si>
    <t xml:space="preserve">congo clear</t>
  </si>
  <si>
    <t xml:space="preserve">pachari remaining items</t>
  </si>
  <si>
    <t xml:space="preserve">van driver</t>
  </si>
  <si>
    <t xml:space="preserve">tarak maya</t>
  </si>
  <si>
    <t xml:space="preserve">anapadaniki bomma</t>
  </si>
  <si>
    <t xml:space="preserve">leela teacher fri</t>
  </si>
  <si>
    <t xml:space="preserve">hemsh</t>
  </si>
  <si>
    <t xml:space="preserve">anand maya</t>
  </si>
  <si>
    <t xml:space="preserve">venkatesh</t>
  </si>
  <si>
    <t xml:space="preserve">tata</t>
  </si>
  <si>
    <t xml:space="preserve">ladoo</t>
  </si>
  <si>
    <t xml:space="preserve">boya</t>
  </si>
  <si>
    <t xml:space="preserve">nimmakayalu and coconuts</t>
  </si>
  <si>
    <t xml:space="preserve">pm</t>
  </si>
  <si>
    <t xml:space="preserve">pramidalu</t>
  </si>
  <si>
    <t xml:space="preserve">kranthi</t>
  </si>
  <si>
    <t xml:space="preserve">van</t>
  </si>
  <si>
    <t xml:space="preserve">sashi</t>
  </si>
  <si>
    <t xml:space="preserve">anand</t>
  </si>
  <si>
    <t xml:space="preserve">samba</t>
  </si>
  <si>
    <t xml:space="preserve">vasanti</t>
  </si>
  <si>
    <t xml:space="preserve">maddi sruinu</t>
  </si>
  <si>
    <t xml:space="preserve">bhavitha</t>
  </si>
  <si>
    <t xml:space="preserve">d appalareddyy</t>
  </si>
  <si>
    <t xml:space="preserve">panda seenu</t>
  </si>
  <si>
    <t xml:space="preserve">dumpa poli</t>
  </si>
  <si>
    <t xml:space="preserve">nagaraju</t>
  </si>
  <si>
    <t xml:space="preserve">NET BALANCE (INCOME − EXPENDITURE)</t>
  </si>
  <si>
    <t xml:space="preserve">Check vs. original "Final Total" sheet:</t>
  </si>
  <si>
    <t xml:space="preserve">RAJA - LEDGER</t>
  </si>
  <si>
    <t xml:space="preserve">NET (RAJA) = INCOME − EXPENDITURE</t>
  </si>
  <si>
    <t xml:space="preserve">SANTHU - LEDGER</t>
  </si>
  <si>
    <t xml:space="preserve">NET (SANTHU) = INCOME − EXPENDITURE</t>
  </si>
  <si>
    <t xml:space="preserve">ANNADHANAM - LEDGER</t>
  </si>
  <si>
    <t xml:space="preserve">NET (ANNADHANAM) = INCOME − EXPENDITURE</t>
  </si>
  <si>
    <t xml:space="preserve">Final Total - Raja, Santhu &amp; Annadhanam</t>
  </si>
  <si>
    <t xml:space="preserve">Ledger</t>
  </si>
  <si>
    <t xml:space="preserve">Total Income (Rs.)</t>
  </si>
  <si>
    <t xml:space="preserve">Total Expenditure (Rs.)</t>
  </si>
  <si>
    <t xml:space="preserve">Net (Rs.)</t>
  </si>
  <si>
    <t xml:space="preserve">Raja</t>
  </si>
  <si>
    <t xml:space="preserve">Santhu</t>
  </si>
  <si>
    <t xml:space="preserve">Annadhanam</t>
  </si>
  <si>
    <t xml:space="preserve">RAJA + SANTHU (combined)</t>
  </si>
  <si>
    <t xml:space="preserve">GRAND TOTAL (Raja + Santhu + Annadhanam)</t>
  </si>
  <si>
    <t xml:space="preserve">Note: Figures taken directly from the separately-uploaded Raja, Santhu and Annadhanam ledger sheets. Raja's total (Rs. 36,110) matches the check total printed at the bottom of that source sheet.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</si>
</sst>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D9E1F2"/>
      </patternFill>
    </fill>
    <fill>
      <patternFill patternType="solid">
        <fgColor rgb="FFFCE4E4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2F5496"/>
        <bgColor rgb="FF1F3864"/>
      </patternFill>
    </fill>
    <fill>
      <patternFill patternType="solid">
        <fgColor rgb="FFFFE699"/>
        <bgColor rgb="FFFFCC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7B7B7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3"/>
    <col collapsed="false" customWidth="true" hidden="false" outlineLevel="0" max="5" min="5" style="0" width="7"/>
    <col collapsed="false" customWidth="true" hidden="false" outlineLevel="0" max="6" min="6" style="0" width="34"/>
    <col collapsed="false" customWidth="true" hidden="false" outlineLevel="0" max="7" min="7" style="0" width="1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/>
      <c r="C3" s="3" t="n">
        <f aca="false">C93</f>
        <v>259268</v>
      </c>
      <c r="E3" s="4" t="s">
        <v>2</v>
      </c>
      <c r="F3" s="4"/>
      <c r="G3" s="5" t="n">
        <f aca="false">G93</f>
        <v>181120</v>
      </c>
    </row>
    <row r="4" customFormat="false" ht="15" hidden="false" customHeight="false" outlineLevel="0" collapsed="false">
      <c r="A4" s="6" t="s">
        <v>3</v>
      </c>
      <c r="B4" s="6"/>
      <c r="C4" s="6"/>
      <c r="D4" s="6"/>
      <c r="E4" s="6"/>
      <c r="F4" s="6"/>
      <c r="G4" s="7" t="n">
        <f aca="false">C3-G3</f>
        <v>78148</v>
      </c>
    </row>
    <row r="6" customFormat="false" ht="15" hidden="false" customHeight="false" outlineLevel="0" collapsed="false">
      <c r="A6" s="8" t="s">
        <v>4</v>
      </c>
      <c r="B6" s="8"/>
      <c r="C6" s="8"/>
      <c r="E6" s="8" t="s">
        <v>5</v>
      </c>
      <c r="F6" s="8"/>
      <c r="G6" s="8"/>
    </row>
    <row r="7" customFormat="false" ht="15" hidden="false" customHeight="false" outlineLevel="0" collapsed="false">
      <c r="A7" s="9" t="s">
        <v>6</v>
      </c>
      <c r="B7" s="10" t="s">
        <v>7</v>
      </c>
      <c r="C7" s="9" t="s">
        <v>8</v>
      </c>
      <c r="E7" s="9" t="s">
        <v>6</v>
      </c>
      <c r="F7" s="10" t="s">
        <v>7</v>
      </c>
      <c r="G7" s="9" t="s">
        <v>8</v>
      </c>
    </row>
    <row r="8" customFormat="false" ht="15" hidden="false" customHeight="false" outlineLevel="0" collapsed="false">
      <c r="A8" s="11" t="n">
        <v>1</v>
      </c>
      <c r="B8" s="12" t="s">
        <v>9</v>
      </c>
      <c r="C8" s="13" t="n">
        <v>22000</v>
      </c>
      <c r="E8" s="11" t="n">
        <v>1</v>
      </c>
      <c r="F8" s="12" t="s">
        <v>10</v>
      </c>
      <c r="G8" s="13" t="n">
        <v>200</v>
      </c>
    </row>
    <row r="9" customFormat="false" ht="15" hidden="false" customHeight="false" outlineLevel="0" collapsed="false">
      <c r="A9" s="11" t="n">
        <v>2</v>
      </c>
      <c r="B9" s="12" t="s">
        <v>9</v>
      </c>
      <c r="C9" s="13" t="n">
        <v>10000</v>
      </c>
      <c r="E9" s="11" t="n">
        <v>2</v>
      </c>
      <c r="F9" s="12" t="s">
        <v>11</v>
      </c>
      <c r="G9" s="13" t="n">
        <v>6000</v>
      </c>
    </row>
    <row r="10" customFormat="false" ht="15" hidden="false" customHeight="false" outlineLevel="0" collapsed="false">
      <c r="A10" s="11" t="n">
        <v>3</v>
      </c>
      <c r="B10" s="12" t="s">
        <v>12</v>
      </c>
      <c r="C10" s="13" t="n">
        <v>1000</v>
      </c>
      <c r="E10" s="11" t="n">
        <v>3</v>
      </c>
      <c r="F10" s="12" t="s">
        <v>13</v>
      </c>
      <c r="G10" s="13" t="n">
        <v>2000</v>
      </c>
    </row>
    <row r="11" customFormat="false" ht="15" hidden="false" customHeight="false" outlineLevel="0" collapsed="false">
      <c r="A11" s="11" t="n">
        <v>4</v>
      </c>
      <c r="B11" s="12" t="s">
        <v>14</v>
      </c>
      <c r="C11" s="13" t="n">
        <v>2500</v>
      </c>
      <c r="E11" s="11" t="n">
        <v>4</v>
      </c>
      <c r="F11" s="12" t="s">
        <v>15</v>
      </c>
      <c r="G11" s="13" t="n">
        <v>350</v>
      </c>
    </row>
    <row r="12" customFormat="false" ht="15" hidden="false" customHeight="false" outlineLevel="0" collapsed="false">
      <c r="A12" s="11" t="n">
        <v>5</v>
      </c>
      <c r="B12" s="12" t="s">
        <v>16</v>
      </c>
      <c r="C12" s="13" t="n">
        <v>2500</v>
      </c>
      <c r="E12" s="11" t="n">
        <v>5</v>
      </c>
      <c r="F12" s="12" t="s">
        <v>17</v>
      </c>
      <c r="G12" s="13" t="n">
        <v>200</v>
      </c>
    </row>
    <row r="13" customFormat="false" ht="15" hidden="false" customHeight="false" outlineLevel="0" collapsed="false">
      <c r="A13" s="11" t="n">
        <v>6</v>
      </c>
      <c r="B13" s="12" t="s">
        <v>18</v>
      </c>
      <c r="C13" s="13" t="n">
        <v>2500</v>
      </c>
      <c r="E13" s="11" t="n">
        <v>6</v>
      </c>
      <c r="F13" s="12" t="s">
        <v>19</v>
      </c>
      <c r="G13" s="13" t="n">
        <v>1000</v>
      </c>
    </row>
    <row r="14" customFormat="false" ht="15" hidden="false" customHeight="false" outlineLevel="0" collapsed="false">
      <c r="A14" s="11" t="n">
        <v>7</v>
      </c>
      <c r="B14" s="12" t="s">
        <v>20</v>
      </c>
      <c r="C14" s="13" t="n">
        <v>2500</v>
      </c>
      <c r="E14" s="11" t="n">
        <v>7</v>
      </c>
      <c r="F14" s="12" t="s">
        <v>11</v>
      </c>
      <c r="G14" s="13" t="n">
        <v>9000</v>
      </c>
    </row>
    <row r="15" customFormat="false" ht="15" hidden="false" customHeight="false" outlineLevel="0" collapsed="false">
      <c r="A15" s="11" t="n">
        <v>8</v>
      </c>
      <c r="B15" s="12" t="s">
        <v>21</v>
      </c>
      <c r="C15" s="13" t="n">
        <v>2500</v>
      </c>
      <c r="E15" s="11" t="n">
        <v>8</v>
      </c>
      <c r="F15" s="12" t="s">
        <v>13</v>
      </c>
      <c r="G15" s="13" t="n">
        <v>300</v>
      </c>
    </row>
    <row r="16" customFormat="false" ht="15" hidden="false" customHeight="false" outlineLevel="0" collapsed="false">
      <c r="A16" s="11" t="n">
        <v>9</v>
      </c>
      <c r="B16" s="12" t="s">
        <v>22</v>
      </c>
      <c r="C16" s="13" t="n">
        <v>1000</v>
      </c>
      <c r="E16" s="11" t="n">
        <v>9</v>
      </c>
      <c r="F16" s="12" t="s">
        <v>13</v>
      </c>
      <c r="G16" s="13" t="n">
        <v>240</v>
      </c>
    </row>
    <row r="17" customFormat="false" ht="15" hidden="false" customHeight="false" outlineLevel="0" collapsed="false">
      <c r="A17" s="11" t="n">
        <v>10</v>
      </c>
      <c r="B17" s="12" t="s">
        <v>23</v>
      </c>
      <c r="C17" s="13" t="n">
        <v>4000</v>
      </c>
      <c r="E17" s="11" t="n">
        <v>10</v>
      </c>
      <c r="F17" s="12" t="s">
        <v>11</v>
      </c>
      <c r="G17" s="13" t="n">
        <v>15000</v>
      </c>
    </row>
    <row r="18" customFormat="false" ht="15" hidden="false" customHeight="false" outlineLevel="0" collapsed="false">
      <c r="A18" s="11" t="n">
        <v>11</v>
      </c>
      <c r="B18" s="12" t="s">
        <v>24</v>
      </c>
      <c r="C18" s="13" t="n">
        <v>2500</v>
      </c>
      <c r="E18" s="11" t="n">
        <v>11</v>
      </c>
      <c r="F18" s="12" t="s">
        <v>13</v>
      </c>
      <c r="G18" s="13" t="n">
        <v>200</v>
      </c>
    </row>
    <row r="19" customFormat="false" ht="15" hidden="false" customHeight="false" outlineLevel="0" collapsed="false">
      <c r="A19" s="11" t="n">
        <v>12</v>
      </c>
      <c r="B19" s="12" t="s">
        <v>25</v>
      </c>
      <c r="C19" s="13" t="n">
        <v>1000</v>
      </c>
      <c r="E19" s="11" t="n">
        <v>12</v>
      </c>
      <c r="F19" s="12" t="s">
        <v>19</v>
      </c>
      <c r="G19" s="13" t="n">
        <v>1000</v>
      </c>
    </row>
    <row r="20" customFormat="false" ht="15" hidden="false" customHeight="false" outlineLevel="0" collapsed="false">
      <c r="A20" s="11" t="n">
        <v>13</v>
      </c>
      <c r="B20" s="12" t="s">
        <v>23</v>
      </c>
      <c r="C20" s="13" t="n">
        <v>1000</v>
      </c>
      <c r="E20" s="11" t="n">
        <v>13</v>
      </c>
      <c r="F20" s="12" t="s">
        <v>26</v>
      </c>
      <c r="G20" s="13" t="n">
        <v>1400</v>
      </c>
    </row>
    <row r="21" customFormat="false" ht="15" hidden="false" customHeight="false" outlineLevel="0" collapsed="false">
      <c r="A21" s="11" t="n">
        <v>14</v>
      </c>
      <c r="B21" s="12" t="s">
        <v>27</v>
      </c>
      <c r="C21" s="13" t="n">
        <v>2500</v>
      </c>
      <c r="E21" s="11" t="n">
        <v>14</v>
      </c>
      <c r="F21" s="12" t="s">
        <v>28</v>
      </c>
      <c r="G21" s="13" t="n">
        <v>800</v>
      </c>
    </row>
    <row r="22" customFormat="false" ht="15" hidden="false" customHeight="false" outlineLevel="0" collapsed="false">
      <c r="A22" s="11" t="n">
        <v>15</v>
      </c>
      <c r="B22" s="12" t="s">
        <v>13</v>
      </c>
      <c r="C22" s="13" t="n">
        <v>500</v>
      </c>
      <c r="E22" s="11" t="n">
        <v>15</v>
      </c>
      <c r="F22" s="12" t="s">
        <v>29</v>
      </c>
      <c r="G22" s="13" t="n">
        <v>1000</v>
      </c>
    </row>
    <row r="23" customFormat="false" ht="15" hidden="false" customHeight="false" outlineLevel="0" collapsed="false">
      <c r="A23" s="11" t="n">
        <v>16</v>
      </c>
      <c r="B23" s="12" t="s">
        <v>30</v>
      </c>
      <c r="C23" s="13" t="n">
        <v>5000</v>
      </c>
      <c r="E23" s="11" t="n">
        <v>16</v>
      </c>
      <c r="F23" s="12" t="s">
        <v>31</v>
      </c>
      <c r="G23" s="13" t="n">
        <v>500</v>
      </c>
    </row>
    <row r="24" customFormat="false" ht="15" hidden="false" customHeight="false" outlineLevel="0" collapsed="false">
      <c r="A24" s="11" t="n">
        <v>17</v>
      </c>
      <c r="B24" s="12" t="s">
        <v>32</v>
      </c>
      <c r="C24" s="13" t="n">
        <v>3000</v>
      </c>
      <c r="E24" s="11" t="n">
        <v>17</v>
      </c>
      <c r="F24" s="12" t="s">
        <v>33</v>
      </c>
      <c r="G24" s="13" t="n">
        <v>4000</v>
      </c>
    </row>
    <row r="25" customFormat="false" ht="15" hidden="false" customHeight="false" outlineLevel="0" collapsed="false">
      <c r="A25" s="11" t="n">
        <v>18</v>
      </c>
      <c r="B25" s="12" t="s">
        <v>34</v>
      </c>
      <c r="C25" s="13" t="n">
        <v>500</v>
      </c>
      <c r="E25" s="11" t="n">
        <v>18</v>
      </c>
      <c r="F25" s="12" t="s">
        <v>35</v>
      </c>
      <c r="G25" s="13" t="n">
        <v>1500</v>
      </c>
    </row>
    <row r="26" customFormat="false" ht="15" hidden="false" customHeight="false" outlineLevel="0" collapsed="false">
      <c r="A26" s="11" t="n">
        <v>19</v>
      </c>
      <c r="B26" s="12" t="s">
        <v>36</v>
      </c>
      <c r="C26" s="13" t="n">
        <v>2000</v>
      </c>
      <c r="E26" s="11" t="n">
        <v>19</v>
      </c>
      <c r="F26" s="12" t="s">
        <v>37</v>
      </c>
      <c r="G26" s="13" t="n">
        <v>4700</v>
      </c>
    </row>
    <row r="27" customFormat="false" ht="15" hidden="false" customHeight="false" outlineLevel="0" collapsed="false">
      <c r="A27" s="11" t="n">
        <v>20</v>
      </c>
      <c r="B27" s="12" t="s">
        <v>38</v>
      </c>
      <c r="C27" s="13" t="n">
        <v>1000</v>
      </c>
      <c r="E27" s="11" t="n">
        <v>20</v>
      </c>
      <c r="F27" s="12" t="s">
        <v>17</v>
      </c>
      <c r="G27" s="13" t="n">
        <v>200</v>
      </c>
    </row>
    <row r="28" customFormat="false" ht="15" hidden="false" customHeight="false" outlineLevel="0" collapsed="false">
      <c r="A28" s="11" t="n">
        <v>21</v>
      </c>
      <c r="B28" s="12" t="s">
        <v>39</v>
      </c>
      <c r="C28" s="13" t="n">
        <v>4500</v>
      </c>
      <c r="E28" s="11" t="n">
        <v>21</v>
      </c>
      <c r="F28" s="12" t="s">
        <v>40</v>
      </c>
      <c r="G28" s="13" t="n">
        <v>6000</v>
      </c>
    </row>
    <row r="29" customFormat="false" ht="15" hidden="false" customHeight="false" outlineLevel="0" collapsed="false">
      <c r="A29" s="11" t="n">
        <v>22</v>
      </c>
      <c r="B29" s="12" t="s">
        <v>41</v>
      </c>
      <c r="C29" s="13" t="n">
        <v>15000</v>
      </c>
      <c r="E29" s="11" t="n">
        <v>22</v>
      </c>
      <c r="F29" s="12" t="s">
        <v>42</v>
      </c>
      <c r="G29" s="13" t="n">
        <v>1500</v>
      </c>
    </row>
    <row r="30" customFormat="false" ht="15" hidden="false" customHeight="false" outlineLevel="0" collapsed="false">
      <c r="A30" s="11" t="n">
        <v>23</v>
      </c>
      <c r="B30" s="12" t="s">
        <v>43</v>
      </c>
      <c r="C30" s="13" t="n">
        <v>5000</v>
      </c>
      <c r="E30" s="11" t="n">
        <v>23</v>
      </c>
      <c r="F30" s="12" t="s">
        <v>44</v>
      </c>
      <c r="G30" s="13" t="n">
        <v>2000</v>
      </c>
    </row>
    <row r="31" customFormat="false" ht="15" hidden="false" customHeight="false" outlineLevel="0" collapsed="false">
      <c r="A31" s="11" t="n">
        <v>24</v>
      </c>
      <c r="B31" s="12" t="s">
        <v>45</v>
      </c>
      <c r="C31" s="13" t="n">
        <v>2500</v>
      </c>
      <c r="E31" s="11" t="n">
        <v>24</v>
      </c>
      <c r="F31" s="12" t="s">
        <v>46</v>
      </c>
      <c r="G31" s="13" t="n">
        <v>300</v>
      </c>
    </row>
    <row r="32" customFormat="false" ht="15" hidden="false" customHeight="false" outlineLevel="0" collapsed="false">
      <c r="A32" s="11" t="n">
        <v>25</v>
      </c>
      <c r="B32" s="12" t="s">
        <v>9</v>
      </c>
      <c r="C32" s="13" t="n">
        <v>3000</v>
      </c>
      <c r="E32" s="11" t="n">
        <v>25</v>
      </c>
      <c r="F32" s="12" t="s">
        <v>47</v>
      </c>
      <c r="G32" s="13" t="n">
        <v>1000</v>
      </c>
    </row>
    <row r="33" customFormat="false" ht="15" hidden="false" customHeight="false" outlineLevel="0" collapsed="false">
      <c r="A33" s="11" t="n">
        <v>26</v>
      </c>
      <c r="B33" s="12" t="s">
        <v>48</v>
      </c>
      <c r="C33" s="13" t="n">
        <v>800</v>
      </c>
      <c r="E33" s="11" t="n">
        <v>26</v>
      </c>
      <c r="F33" s="12" t="s">
        <v>49</v>
      </c>
      <c r="G33" s="13" t="n">
        <v>2000</v>
      </c>
    </row>
    <row r="34" customFormat="false" ht="15" hidden="false" customHeight="false" outlineLevel="0" collapsed="false">
      <c r="A34" s="11" t="n">
        <v>27</v>
      </c>
      <c r="B34" s="12" t="s">
        <v>9</v>
      </c>
      <c r="C34" s="13" t="n">
        <v>15000</v>
      </c>
      <c r="E34" s="11" t="n">
        <v>27</v>
      </c>
      <c r="F34" s="12" t="s">
        <v>50</v>
      </c>
      <c r="G34" s="13" t="n">
        <v>800</v>
      </c>
    </row>
    <row r="35" customFormat="false" ht="15" hidden="false" customHeight="false" outlineLevel="0" collapsed="false">
      <c r="A35" s="11" t="n">
        <v>28</v>
      </c>
      <c r="B35" s="12" t="s">
        <v>51</v>
      </c>
      <c r="C35" s="13" t="n">
        <v>1001</v>
      </c>
      <c r="E35" s="11" t="n">
        <v>28</v>
      </c>
      <c r="F35" s="12" t="s">
        <v>52</v>
      </c>
      <c r="G35" s="13" t="n">
        <v>1500</v>
      </c>
    </row>
    <row r="36" customFormat="false" ht="15" hidden="false" customHeight="false" outlineLevel="0" collapsed="false">
      <c r="A36" s="11" t="n">
        <v>29</v>
      </c>
      <c r="B36" s="12" t="s">
        <v>53</v>
      </c>
      <c r="C36" s="13" t="n">
        <v>501</v>
      </c>
      <c r="E36" s="11" t="n">
        <v>29</v>
      </c>
      <c r="F36" s="12" t="s">
        <v>52</v>
      </c>
      <c r="G36" s="13" t="n">
        <v>13000</v>
      </c>
    </row>
    <row r="37" customFormat="false" ht="15" hidden="false" customHeight="false" outlineLevel="0" collapsed="false">
      <c r="A37" s="11" t="n">
        <v>30</v>
      </c>
      <c r="B37" s="12" t="s">
        <v>54</v>
      </c>
      <c r="C37" s="13" t="n">
        <v>3200</v>
      </c>
      <c r="E37" s="11" t="n">
        <v>30</v>
      </c>
      <c r="F37" s="12" t="s">
        <v>55</v>
      </c>
      <c r="G37" s="13" t="n">
        <v>500</v>
      </c>
    </row>
    <row r="38" customFormat="false" ht="15" hidden="false" customHeight="false" outlineLevel="0" collapsed="false">
      <c r="A38" s="11" t="n">
        <v>31</v>
      </c>
      <c r="B38" s="12" t="s">
        <v>56</v>
      </c>
      <c r="C38" s="13" t="n">
        <v>1000</v>
      </c>
      <c r="E38" s="11" t="n">
        <v>31</v>
      </c>
      <c r="F38" s="12" t="s">
        <v>57</v>
      </c>
      <c r="G38" s="13" t="n">
        <v>250</v>
      </c>
    </row>
    <row r="39" customFormat="false" ht="15" hidden="false" customHeight="false" outlineLevel="0" collapsed="false">
      <c r="A39" s="11" t="n">
        <v>32</v>
      </c>
      <c r="B39" s="12" t="s">
        <v>58</v>
      </c>
      <c r="C39" s="13" t="n">
        <v>2200</v>
      </c>
      <c r="E39" s="11" t="n">
        <v>32</v>
      </c>
      <c r="F39" s="12" t="s">
        <v>59</v>
      </c>
      <c r="G39" s="13" t="n">
        <v>1000</v>
      </c>
    </row>
    <row r="40" customFormat="false" ht="15" hidden="false" customHeight="false" outlineLevel="0" collapsed="false">
      <c r="A40" s="11" t="n">
        <v>33</v>
      </c>
      <c r="B40" s="12" t="s">
        <v>60</v>
      </c>
      <c r="C40" s="13" t="n">
        <v>1000</v>
      </c>
      <c r="E40" s="11" t="n">
        <v>33</v>
      </c>
      <c r="F40" s="12" t="s">
        <v>61</v>
      </c>
      <c r="G40" s="13" t="n">
        <v>1200</v>
      </c>
    </row>
    <row r="41" customFormat="false" ht="15" hidden="false" customHeight="false" outlineLevel="0" collapsed="false">
      <c r="A41" s="11" t="n">
        <v>34</v>
      </c>
      <c r="B41" s="12" t="s">
        <v>22</v>
      </c>
      <c r="C41" s="13" t="n">
        <v>1500</v>
      </c>
      <c r="E41" s="11" t="n">
        <v>34</v>
      </c>
      <c r="F41" s="12" t="s">
        <v>62</v>
      </c>
      <c r="G41" s="13" t="n">
        <v>150</v>
      </c>
    </row>
    <row r="42" customFormat="false" ht="15" hidden="false" customHeight="false" outlineLevel="0" collapsed="false">
      <c r="A42" s="11" t="n">
        <v>35</v>
      </c>
      <c r="B42" s="12" t="s">
        <v>63</v>
      </c>
      <c r="C42" s="13" t="n">
        <v>1500</v>
      </c>
      <c r="E42" s="11" t="n">
        <v>35</v>
      </c>
      <c r="F42" s="12" t="s">
        <v>64</v>
      </c>
      <c r="G42" s="13" t="n">
        <v>4000</v>
      </c>
    </row>
    <row r="43" customFormat="false" ht="15" hidden="false" customHeight="false" outlineLevel="0" collapsed="false">
      <c r="A43" s="11" t="n">
        <v>36</v>
      </c>
      <c r="B43" s="12" t="s">
        <v>65</v>
      </c>
      <c r="C43" s="13" t="n">
        <v>2500</v>
      </c>
      <c r="E43" s="11" t="n">
        <v>36</v>
      </c>
      <c r="F43" s="12" t="s">
        <v>66</v>
      </c>
      <c r="G43" s="13" t="n">
        <v>200</v>
      </c>
    </row>
    <row r="44" customFormat="false" ht="15" hidden="false" customHeight="false" outlineLevel="0" collapsed="false">
      <c r="A44" s="11" t="n">
        <v>37</v>
      </c>
      <c r="B44" s="12" t="s">
        <v>67</v>
      </c>
      <c r="C44" s="13" t="n">
        <v>1000</v>
      </c>
      <c r="E44" s="11" t="n">
        <v>37</v>
      </c>
      <c r="F44" s="12" t="s">
        <v>68</v>
      </c>
      <c r="G44" s="13" t="n">
        <v>200</v>
      </c>
    </row>
    <row r="45" customFormat="false" ht="15" hidden="false" customHeight="false" outlineLevel="0" collapsed="false">
      <c r="A45" s="11" t="n">
        <v>38</v>
      </c>
      <c r="B45" s="12" t="s">
        <v>69</v>
      </c>
      <c r="C45" s="13" t="n">
        <v>5000</v>
      </c>
      <c r="E45" s="11" t="n">
        <v>38</v>
      </c>
      <c r="F45" s="12" t="s">
        <v>70</v>
      </c>
      <c r="G45" s="13" t="n">
        <v>3380</v>
      </c>
    </row>
    <row r="46" customFormat="false" ht="15" hidden="false" customHeight="false" outlineLevel="0" collapsed="false">
      <c r="A46" s="11" t="n">
        <v>39</v>
      </c>
      <c r="B46" s="12" t="s">
        <v>71</v>
      </c>
      <c r="C46" s="13" t="n">
        <v>2500</v>
      </c>
      <c r="E46" s="11" t="n">
        <v>39</v>
      </c>
      <c r="F46" s="12" t="s">
        <v>72</v>
      </c>
      <c r="G46" s="13" t="n">
        <v>2700</v>
      </c>
    </row>
    <row r="47" customFormat="false" ht="15" hidden="false" customHeight="false" outlineLevel="0" collapsed="false">
      <c r="A47" s="11" t="n">
        <v>40</v>
      </c>
      <c r="B47" s="12" t="s">
        <v>27</v>
      </c>
      <c r="C47" s="13" t="n">
        <v>2500</v>
      </c>
      <c r="E47" s="11" t="n">
        <v>40</v>
      </c>
      <c r="F47" s="12" t="s">
        <v>73</v>
      </c>
      <c r="G47" s="13" t="n">
        <v>400</v>
      </c>
    </row>
    <row r="48" customFormat="false" ht="15" hidden="false" customHeight="false" outlineLevel="0" collapsed="false">
      <c r="A48" s="11" t="n">
        <v>41</v>
      </c>
      <c r="B48" s="12" t="s">
        <v>63</v>
      </c>
      <c r="C48" s="13" t="n">
        <v>500</v>
      </c>
      <c r="E48" s="11" t="n">
        <v>41</v>
      </c>
      <c r="F48" s="12" t="s">
        <v>74</v>
      </c>
      <c r="G48" s="13" t="n">
        <v>2700</v>
      </c>
    </row>
    <row r="49" customFormat="false" ht="15" hidden="false" customHeight="false" outlineLevel="0" collapsed="false">
      <c r="A49" s="11" t="n">
        <v>42</v>
      </c>
      <c r="B49" s="12" t="s">
        <v>75</v>
      </c>
      <c r="C49" s="13" t="n">
        <v>3000</v>
      </c>
      <c r="E49" s="11" t="n">
        <v>42</v>
      </c>
      <c r="F49" s="12" t="s">
        <v>76</v>
      </c>
      <c r="G49" s="13" t="n">
        <v>100</v>
      </c>
    </row>
    <row r="50" customFormat="false" ht="15" hidden="false" customHeight="false" outlineLevel="0" collapsed="false">
      <c r="A50" s="11" t="n">
        <v>43</v>
      </c>
      <c r="B50" s="12" t="s">
        <v>77</v>
      </c>
      <c r="C50" s="13" t="n">
        <v>2500</v>
      </c>
      <c r="E50" s="11" t="n">
        <v>43</v>
      </c>
      <c r="F50" s="12" t="s">
        <v>78</v>
      </c>
      <c r="G50" s="13" t="n">
        <v>1000</v>
      </c>
    </row>
    <row r="51" customFormat="false" ht="15" hidden="false" customHeight="false" outlineLevel="0" collapsed="false">
      <c r="A51" s="11" t="n">
        <v>44</v>
      </c>
      <c r="B51" s="12" t="s">
        <v>79</v>
      </c>
      <c r="C51" s="13" t="n">
        <v>1000</v>
      </c>
      <c r="E51" s="11" t="n">
        <v>44</v>
      </c>
      <c r="F51" s="12" t="s">
        <v>80</v>
      </c>
      <c r="G51" s="13" t="n">
        <v>1200</v>
      </c>
    </row>
    <row r="52" customFormat="false" ht="15" hidden="false" customHeight="false" outlineLevel="0" collapsed="false">
      <c r="A52" s="11" t="n">
        <v>45</v>
      </c>
      <c r="B52" s="12" t="s">
        <v>81</v>
      </c>
      <c r="C52" s="13" t="n">
        <v>1000</v>
      </c>
      <c r="E52" s="11" t="n">
        <v>45</v>
      </c>
      <c r="F52" s="12" t="s">
        <v>82</v>
      </c>
      <c r="G52" s="13" t="n">
        <v>1800</v>
      </c>
    </row>
    <row r="53" customFormat="false" ht="15" hidden="false" customHeight="false" outlineLevel="0" collapsed="false">
      <c r="A53" s="11" t="n">
        <v>46</v>
      </c>
      <c r="B53" s="12" t="s">
        <v>83</v>
      </c>
      <c r="C53" s="13" t="n">
        <v>1500</v>
      </c>
      <c r="E53" s="11" t="n">
        <v>46</v>
      </c>
      <c r="F53" s="12" t="s">
        <v>84</v>
      </c>
      <c r="G53" s="13" t="n">
        <v>1700</v>
      </c>
    </row>
    <row r="54" customFormat="false" ht="15" hidden="false" customHeight="false" outlineLevel="0" collapsed="false">
      <c r="A54" s="11" t="n">
        <v>47</v>
      </c>
      <c r="B54" s="12" t="s">
        <v>85</v>
      </c>
      <c r="C54" s="13" t="n">
        <v>1000</v>
      </c>
      <c r="E54" s="11" t="n">
        <v>47</v>
      </c>
      <c r="F54" s="12" t="s">
        <v>86</v>
      </c>
      <c r="G54" s="13" t="n">
        <v>2400</v>
      </c>
    </row>
    <row r="55" customFormat="false" ht="15" hidden="false" customHeight="false" outlineLevel="0" collapsed="false">
      <c r="A55" s="11" t="n">
        <v>48</v>
      </c>
      <c r="B55" s="12" t="s">
        <v>87</v>
      </c>
      <c r="C55" s="13" t="n">
        <v>500</v>
      </c>
      <c r="E55" s="11" t="n">
        <v>48</v>
      </c>
      <c r="F55" s="12" t="s">
        <v>88</v>
      </c>
      <c r="G55" s="13" t="n">
        <v>750</v>
      </c>
    </row>
    <row r="56" customFormat="false" ht="15" hidden="false" customHeight="false" outlineLevel="0" collapsed="false">
      <c r="A56" s="11" t="n">
        <v>49</v>
      </c>
      <c r="B56" s="12" t="s">
        <v>89</v>
      </c>
      <c r="C56" s="13" t="n">
        <v>500</v>
      </c>
      <c r="E56" s="11" t="n">
        <v>49</v>
      </c>
      <c r="F56" s="12" t="s">
        <v>86</v>
      </c>
      <c r="G56" s="13" t="n">
        <v>1220</v>
      </c>
    </row>
    <row r="57" customFormat="false" ht="15" hidden="false" customHeight="false" outlineLevel="0" collapsed="false">
      <c r="A57" s="11" t="n">
        <v>50</v>
      </c>
      <c r="B57" s="12" t="s">
        <v>90</v>
      </c>
      <c r="C57" s="13" t="n">
        <v>2000</v>
      </c>
      <c r="E57" s="11" t="n">
        <v>50</v>
      </c>
      <c r="F57" s="12" t="s">
        <v>91</v>
      </c>
      <c r="G57" s="13" t="n">
        <v>750</v>
      </c>
    </row>
    <row r="58" customFormat="false" ht="15" hidden="false" customHeight="false" outlineLevel="0" collapsed="false">
      <c r="A58" s="11" t="n">
        <v>51</v>
      </c>
      <c r="B58" s="12" t="s">
        <v>92</v>
      </c>
      <c r="C58" s="13" t="n">
        <v>1000</v>
      </c>
      <c r="E58" s="11" t="n">
        <v>51</v>
      </c>
      <c r="F58" s="12" t="s">
        <v>93</v>
      </c>
      <c r="G58" s="13" t="n">
        <v>500</v>
      </c>
    </row>
    <row r="59" customFormat="false" ht="15" hidden="false" customHeight="false" outlineLevel="0" collapsed="false">
      <c r="A59" s="11" t="n">
        <v>52</v>
      </c>
      <c r="B59" s="12" t="s">
        <v>94</v>
      </c>
      <c r="C59" s="13" t="n">
        <v>500</v>
      </c>
      <c r="E59" s="11" t="n">
        <v>52</v>
      </c>
      <c r="F59" s="12" t="s">
        <v>95</v>
      </c>
      <c r="G59" s="13" t="n">
        <v>300</v>
      </c>
    </row>
    <row r="60" customFormat="false" ht="15" hidden="false" customHeight="false" outlineLevel="0" collapsed="false">
      <c r="A60" s="11" t="n">
        <v>53</v>
      </c>
      <c r="B60" s="12" t="s">
        <v>96</v>
      </c>
      <c r="C60" s="13" t="n">
        <v>1000</v>
      </c>
      <c r="E60" s="11" t="n">
        <v>53</v>
      </c>
      <c r="F60" s="12" t="s">
        <v>97</v>
      </c>
      <c r="G60" s="13" t="n">
        <v>1000</v>
      </c>
    </row>
    <row r="61" customFormat="false" ht="15" hidden="false" customHeight="false" outlineLevel="0" collapsed="false">
      <c r="A61" s="11" t="n">
        <v>54</v>
      </c>
      <c r="B61" s="12" t="s">
        <v>98</v>
      </c>
      <c r="C61" s="13" t="n">
        <v>5000</v>
      </c>
      <c r="E61" s="11" t="n">
        <v>54</v>
      </c>
      <c r="F61" s="12" t="s">
        <v>99</v>
      </c>
      <c r="G61" s="13" t="n">
        <v>1000</v>
      </c>
    </row>
    <row r="62" customFormat="false" ht="15" hidden="false" customHeight="false" outlineLevel="0" collapsed="false">
      <c r="A62" s="11" t="n">
        <v>55</v>
      </c>
      <c r="B62" s="12" t="s">
        <v>100</v>
      </c>
      <c r="C62" s="13" t="n">
        <v>500</v>
      </c>
      <c r="E62" s="11" t="n">
        <v>55</v>
      </c>
      <c r="F62" s="12" t="s">
        <v>11</v>
      </c>
      <c r="G62" s="13" t="n">
        <v>10000</v>
      </c>
    </row>
    <row r="63" customFormat="false" ht="15" hidden="false" customHeight="false" outlineLevel="0" collapsed="false">
      <c r="A63" s="11" t="n">
        <v>56</v>
      </c>
      <c r="B63" s="12" t="s">
        <v>101</v>
      </c>
      <c r="C63" s="13" t="n">
        <v>2016</v>
      </c>
      <c r="E63" s="11" t="n">
        <v>56</v>
      </c>
      <c r="F63" s="12" t="s">
        <v>102</v>
      </c>
      <c r="G63" s="13" t="n">
        <v>5000</v>
      </c>
    </row>
    <row r="64" customFormat="false" ht="15" hidden="false" customHeight="false" outlineLevel="0" collapsed="false">
      <c r="A64" s="11" t="n">
        <v>57</v>
      </c>
      <c r="B64" s="12" t="s">
        <v>103</v>
      </c>
      <c r="C64" s="13" t="n">
        <v>3000</v>
      </c>
      <c r="E64" s="11" t="n">
        <v>57</v>
      </c>
      <c r="F64" s="12" t="s">
        <v>104</v>
      </c>
      <c r="G64" s="13" t="n">
        <v>2000</v>
      </c>
    </row>
    <row r="65" customFormat="false" ht="15" hidden="false" customHeight="false" outlineLevel="0" collapsed="false">
      <c r="A65" s="11" t="n">
        <v>58</v>
      </c>
      <c r="B65" s="12" t="s">
        <v>105</v>
      </c>
      <c r="C65" s="13" t="n">
        <v>2000</v>
      </c>
      <c r="E65" s="11" t="n">
        <v>58</v>
      </c>
      <c r="F65" s="12" t="s">
        <v>50</v>
      </c>
      <c r="G65" s="13" t="n">
        <v>350</v>
      </c>
    </row>
    <row r="66" customFormat="false" ht="15" hidden="false" customHeight="false" outlineLevel="0" collapsed="false">
      <c r="A66" s="11" t="n">
        <v>59</v>
      </c>
      <c r="B66" s="12" t="s">
        <v>106</v>
      </c>
      <c r="C66" s="13" t="n">
        <v>1500</v>
      </c>
      <c r="E66" s="11" t="n">
        <v>59</v>
      </c>
      <c r="F66" s="12" t="s">
        <v>107</v>
      </c>
      <c r="G66" s="13" t="n">
        <v>1500</v>
      </c>
    </row>
    <row r="67" customFormat="false" ht="15" hidden="false" customHeight="false" outlineLevel="0" collapsed="false">
      <c r="A67" s="11" t="n">
        <v>60</v>
      </c>
      <c r="B67" s="12" t="s">
        <v>108</v>
      </c>
      <c r="C67" s="13" t="n">
        <v>2000</v>
      </c>
      <c r="E67" s="11" t="n">
        <v>60</v>
      </c>
      <c r="F67" s="12" t="s">
        <v>109</v>
      </c>
      <c r="G67" s="13" t="n">
        <v>1000</v>
      </c>
    </row>
    <row r="68" customFormat="false" ht="15" hidden="false" customHeight="false" outlineLevel="0" collapsed="false">
      <c r="A68" s="11" t="n">
        <v>61</v>
      </c>
      <c r="B68" s="12" t="s">
        <v>110</v>
      </c>
      <c r="C68" s="13" t="n">
        <v>1000</v>
      </c>
      <c r="E68" s="11" t="n">
        <v>61</v>
      </c>
      <c r="F68" s="12" t="s">
        <v>111</v>
      </c>
      <c r="G68" s="13" t="n">
        <v>1000</v>
      </c>
    </row>
    <row r="69" customFormat="false" ht="15" hidden="false" customHeight="false" outlineLevel="0" collapsed="false">
      <c r="A69" s="11" t="n">
        <v>62</v>
      </c>
      <c r="B69" s="12" t="s">
        <v>112</v>
      </c>
      <c r="C69" s="13" t="n">
        <v>2000</v>
      </c>
      <c r="E69" s="11" t="n">
        <v>62</v>
      </c>
      <c r="F69" s="12" t="s">
        <v>113</v>
      </c>
      <c r="G69" s="13" t="n">
        <v>6000</v>
      </c>
    </row>
    <row r="70" customFormat="false" ht="15" hidden="false" customHeight="false" outlineLevel="0" collapsed="false">
      <c r="A70" s="11" t="n">
        <v>63</v>
      </c>
      <c r="B70" s="12" t="s">
        <v>114</v>
      </c>
      <c r="C70" s="13" t="n">
        <v>1000</v>
      </c>
      <c r="E70" s="11" t="n">
        <v>63</v>
      </c>
      <c r="F70" s="12" t="s">
        <v>19</v>
      </c>
      <c r="G70" s="13" t="n">
        <v>1000</v>
      </c>
    </row>
    <row r="71" customFormat="false" ht="15" hidden="false" customHeight="false" outlineLevel="0" collapsed="false">
      <c r="A71" s="11" t="n">
        <v>64</v>
      </c>
      <c r="B71" s="12" t="s">
        <v>115</v>
      </c>
      <c r="C71" s="13" t="n">
        <v>5000</v>
      </c>
      <c r="E71" s="11" t="n">
        <v>64</v>
      </c>
      <c r="F71" s="12" t="s">
        <v>116</v>
      </c>
      <c r="G71" s="13" t="n">
        <v>8000</v>
      </c>
    </row>
    <row r="72" customFormat="false" ht="15" hidden="false" customHeight="false" outlineLevel="0" collapsed="false">
      <c r="A72" s="11" t="n">
        <v>65</v>
      </c>
      <c r="B72" s="12" t="s">
        <v>117</v>
      </c>
      <c r="C72" s="13" t="n">
        <v>1700</v>
      </c>
      <c r="E72" s="11" t="n">
        <v>65</v>
      </c>
      <c r="F72" s="12" t="s">
        <v>118</v>
      </c>
      <c r="G72" s="13" t="n">
        <v>250</v>
      </c>
    </row>
    <row r="73" customFormat="false" ht="15" hidden="false" customHeight="false" outlineLevel="0" collapsed="false">
      <c r="A73" s="11" t="n">
        <v>66</v>
      </c>
      <c r="B73" s="12" t="s">
        <v>119</v>
      </c>
      <c r="C73" s="13" t="n">
        <v>2000</v>
      </c>
      <c r="E73" s="11" t="n">
        <v>66</v>
      </c>
      <c r="F73" s="12" t="s">
        <v>120</v>
      </c>
      <c r="G73" s="13" t="n">
        <v>1000</v>
      </c>
    </row>
    <row r="74" customFormat="false" ht="15" hidden="false" customHeight="false" outlineLevel="0" collapsed="false">
      <c r="A74" s="11" t="n">
        <v>67</v>
      </c>
      <c r="B74" s="12" t="s">
        <v>121</v>
      </c>
      <c r="C74" s="13" t="n">
        <v>1000</v>
      </c>
      <c r="E74" s="11" t="n">
        <v>67</v>
      </c>
      <c r="F74" s="12" t="s">
        <v>104</v>
      </c>
      <c r="G74" s="13" t="n">
        <v>6000</v>
      </c>
    </row>
    <row r="75" customFormat="false" ht="15" hidden="false" customHeight="false" outlineLevel="0" collapsed="false">
      <c r="A75" s="11" t="n">
        <v>68</v>
      </c>
      <c r="B75" s="12" t="s">
        <v>122</v>
      </c>
      <c r="C75" s="13" t="n">
        <v>4000</v>
      </c>
      <c r="E75" s="11" t="n">
        <v>68</v>
      </c>
      <c r="F75" s="12" t="s">
        <v>123</v>
      </c>
      <c r="G75" s="13" t="n">
        <v>14000</v>
      </c>
    </row>
    <row r="76" customFormat="false" ht="15" hidden="false" customHeight="false" outlineLevel="0" collapsed="false">
      <c r="A76" s="11" t="n">
        <v>69</v>
      </c>
      <c r="B76" s="12" t="s">
        <v>124</v>
      </c>
      <c r="C76" s="13" t="n">
        <v>7000</v>
      </c>
      <c r="E76" s="11" t="n">
        <v>69</v>
      </c>
      <c r="F76" s="12" t="s">
        <v>123</v>
      </c>
      <c r="G76" s="13" t="n">
        <v>10000</v>
      </c>
    </row>
    <row r="77" customFormat="false" ht="15" hidden="false" customHeight="false" outlineLevel="0" collapsed="false">
      <c r="A77" s="11" t="n">
        <v>70</v>
      </c>
      <c r="B77" s="12" t="s">
        <v>125</v>
      </c>
      <c r="C77" s="13" t="n">
        <v>1750</v>
      </c>
      <c r="E77" s="11" t="n">
        <v>70</v>
      </c>
      <c r="F77" s="12" t="s">
        <v>126</v>
      </c>
      <c r="G77" s="13" t="n">
        <v>750</v>
      </c>
    </row>
    <row r="78" customFormat="false" ht="15" hidden="false" customHeight="false" outlineLevel="0" collapsed="false">
      <c r="A78" s="11" t="n">
        <v>71</v>
      </c>
      <c r="B78" s="12" t="s">
        <v>127</v>
      </c>
      <c r="C78" s="13" t="n">
        <v>5000</v>
      </c>
      <c r="E78" s="11" t="n">
        <v>71</v>
      </c>
      <c r="F78" s="12" t="s">
        <v>128</v>
      </c>
      <c r="G78" s="13" t="n">
        <v>1000</v>
      </c>
    </row>
    <row r="79" customFormat="false" ht="15" hidden="false" customHeight="false" outlineLevel="0" collapsed="false">
      <c r="A79" s="11" t="n">
        <v>72</v>
      </c>
      <c r="B79" s="12" t="s">
        <v>129</v>
      </c>
      <c r="C79" s="13" t="n">
        <v>1800</v>
      </c>
      <c r="E79" s="11" t="n">
        <v>72</v>
      </c>
      <c r="F79" s="12" t="s">
        <v>130</v>
      </c>
      <c r="G79" s="13" t="n">
        <v>180</v>
      </c>
    </row>
    <row r="80" customFormat="false" ht="15" hidden="false" customHeight="false" outlineLevel="0" collapsed="false">
      <c r="A80" s="11" t="n">
        <v>73</v>
      </c>
      <c r="B80" s="12" t="s">
        <v>131</v>
      </c>
      <c r="C80" s="13" t="n">
        <v>2000</v>
      </c>
      <c r="E80" s="11" t="n">
        <v>73</v>
      </c>
      <c r="F80" s="12" t="s">
        <v>132</v>
      </c>
      <c r="G80" s="13" t="n">
        <v>4000</v>
      </c>
    </row>
    <row r="81" customFormat="false" ht="15" hidden="false" customHeight="false" outlineLevel="0" collapsed="false">
      <c r="A81" s="11" t="n">
        <v>74</v>
      </c>
      <c r="B81" s="12" t="s">
        <v>133</v>
      </c>
      <c r="C81" s="13" t="n">
        <v>10000</v>
      </c>
    </row>
    <row r="82" customFormat="false" ht="15" hidden="false" customHeight="false" outlineLevel="0" collapsed="false">
      <c r="A82" s="11" t="n">
        <v>75</v>
      </c>
      <c r="B82" s="12" t="s">
        <v>134</v>
      </c>
      <c r="C82" s="13" t="n">
        <v>2000</v>
      </c>
    </row>
    <row r="83" customFormat="false" ht="15" hidden="false" customHeight="false" outlineLevel="0" collapsed="false">
      <c r="A83" s="11" t="n">
        <v>76</v>
      </c>
      <c r="B83" s="12" t="s">
        <v>135</v>
      </c>
      <c r="C83" s="13" t="n">
        <v>6000</v>
      </c>
    </row>
    <row r="84" customFormat="false" ht="15" hidden="false" customHeight="false" outlineLevel="0" collapsed="false">
      <c r="A84" s="11" t="n">
        <v>77</v>
      </c>
      <c r="B84" s="12" t="s">
        <v>136</v>
      </c>
      <c r="C84" s="13" t="n">
        <v>5000</v>
      </c>
    </row>
    <row r="85" customFormat="false" ht="15" hidden="false" customHeight="false" outlineLevel="0" collapsed="false">
      <c r="A85" s="11" t="n">
        <v>78</v>
      </c>
      <c r="B85" s="12" t="s">
        <v>137</v>
      </c>
      <c r="C85" s="13" t="n">
        <v>5000</v>
      </c>
    </row>
    <row r="86" customFormat="false" ht="15" hidden="false" customHeight="false" outlineLevel="0" collapsed="false">
      <c r="A86" s="11" t="n">
        <v>79</v>
      </c>
      <c r="B86" s="12" t="s">
        <v>67</v>
      </c>
      <c r="C86" s="13" t="n">
        <v>1800</v>
      </c>
    </row>
    <row r="87" customFormat="false" ht="15" hidden="false" customHeight="false" outlineLevel="0" collapsed="false">
      <c r="A87" s="11" t="n">
        <v>80</v>
      </c>
      <c r="B87" s="12" t="s">
        <v>138</v>
      </c>
      <c r="C87" s="13" t="n">
        <v>1000</v>
      </c>
    </row>
    <row r="88" customFormat="false" ht="15" hidden="false" customHeight="false" outlineLevel="0" collapsed="false">
      <c r="A88" s="11" t="n">
        <v>81</v>
      </c>
      <c r="B88" s="12" t="s">
        <v>139</v>
      </c>
      <c r="C88" s="13" t="n">
        <v>1000</v>
      </c>
    </row>
    <row r="89" customFormat="false" ht="15" hidden="false" customHeight="false" outlineLevel="0" collapsed="false">
      <c r="A89" s="11" t="n">
        <v>82</v>
      </c>
      <c r="B89" s="12" t="s">
        <v>140</v>
      </c>
      <c r="C89" s="13" t="n">
        <v>2000</v>
      </c>
    </row>
    <row r="90" customFormat="false" ht="15" hidden="false" customHeight="false" outlineLevel="0" collapsed="false">
      <c r="A90" s="11" t="n">
        <v>83</v>
      </c>
      <c r="B90" s="12" t="s">
        <v>77</v>
      </c>
      <c r="C90" s="13" t="n">
        <v>2500</v>
      </c>
    </row>
    <row r="91" customFormat="false" ht="15" hidden="false" customHeight="false" outlineLevel="0" collapsed="false">
      <c r="A91" s="11" t="n">
        <v>84</v>
      </c>
      <c r="B91" s="12" t="s">
        <v>141</v>
      </c>
      <c r="C91" s="13" t="n">
        <v>5000</v>
      </c>
    </row>
    <row r="92" customFormat="false" ht="15" hidden="false" customHeight="false" outlineLevel="0" collapsed="false">
      <c r="A92" s="11" t="n">
        <v>85</v>
      </c>
      <c r="B92" s="12" t="s">
        <v>142</v>
      </c>
      <c r="C92" s="13" t="n">
        <v>10000</v>
      </c>
    </row>
    <row r="93" customFormat="false" ht="15" hidden="false" customHeight="false" outlineLevel="0" collapsed="false">
      <c r="A93" s="14"/>
      <c r="B93" s="14" t="s">
        <v>1</v>
      </c>
      <c r="C93" s="3" t="n">
        <f aca="false">SUM(C8:C92)</f>
        <v>259268</v>
      </c>
      <c r="E93" s="15"/>
      <c r="F93" s="15" t="s">
        <v>2</v>
      </c>
      <c r="G93" s="5" t="n">
        <f aca="false">SUM(G8:G92)</f>
        <v>181120</v>
      </c>
    </row>
    <row r="95" customFormat="false" ht="15" hidden="false" customHeight="false" outlineLevel="0" collapsed="false">
      <c r="A95" s="16"/>
      <c r="B95" s="16" t="s">
        <v>143</v>
      </c>
      <c r="C95" s="7" t="n">
        <f aca="false">C93-G93</f>
        <v>78148</v>
      </c>
    </row>
    <row r="97" customFormat="false" ht="15" hidden="false" customHeight="false" outlineLevel="0" collapsed="false">
      <c r="A97" s="17" t="s">
        <v>144</v>
      </c>
      <c r="B97" s="17"/>
      <c r="C97" s="17"/>
      <c r="E97" s="18" t="str">
        <f aca="false">IF(AND(C93='Final Total'!B8,G93='Final Total'!C8,C95='Final Total'!D8),"OK - income, expenditure &amp; net all match","MISMATCH - please review")</f>
        <v>OK - income, expenditure &amp; net all match</v>
      </c>
      <c r="F97" s="18"/>
      <c r="G97" s="18"/>
    </row>
  </sheetData>
  <mergeCells count="8">
    <mergeCell ref="A1:G1"/>
    <mergeCell ref="A3:B3"/>
    <mergeCell ref="E3:F3"/>
    <mergeCell ref="A4:F4"/>
    <mergeCell ref="A6:C6"/>
    <mergeCell ref="E6:G6"/>
    <mergeCell ref="A97:C97"/>
    <mergeCell ref="E97:G97"/>
  </mergeCells>
  <printOptions headings="false" gridLines="false" gridLinesSet="true" horizontalCentered="tru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8"/>
    <col collapsed="false" customWidth="true" hidden="false" outlineLevel="0" max="2" min="2" style="19" width="40"/>
    <col collapsed="false" customWidth="true" hidden="false" outlineLevel="0" max="3" min="3" style="19" width="16"/>
  </cols>
  <sheetData>
    <row r="1" customFormat="false" ht="17.25" hidden="false" customHeight="true" outlineLevel="0" collapsed="false">
      <c r="A1" s="20" t="s">
        <v>145</v>
      </c>
      <c r="B1" s="20"/>
      <c r="C1" s="20"/>
    </row>
    <row r="3" customFormat="false" ht="15" hidden="false" customHeight="true" outlineLevel="0" collapsed="false">
      <c r="A3" s="21" t="s">
        <v>4</v>
      </c>
      <c r="B3" s="21"/>
      <c r="C3" s="21"/>
    </row>
    <row r="4" customFormat="false" ht="15" hidden="false" customHeight="true" outlineLevel="0" collapsed="false">
      <c r="A4" s="22" t="s">
        <v>6</v>
      </c>
      <c r="B4" s="22" t="s">
        <v>7</v>
      </c>
      <c r="C4" s="22" t="s">
        <v>8</v>
      </c>
    </row>
    <row r="5" customFormat="false" ht="15" hidden="false" customHeight="true" outlineLevel="0" collapsed="false">
      <c r="A5" s="23" t="n">
        <v>1</v>
      </c>
      <c r="B5" s="23" t="s">
        <v>9</v>
      </c>
      <c r="C5" s="24" t="n">
        <v>22000</v>
      </c>
    </row>
    <row r="6" customFormat="false" ht="15" hidden="false" customHeight="true" outlineLevel="0" collapsed="false">
      <c r="A6" s="23" t="n">
        <v>2</v>
      </c>
      <c r="B6" s="23" t="s">
        <v>9</v>
      </c>
      <c r="C6" s="24" t="n">
        <v>10000</v>
      </c>
    </row>
    <row r="7" customFormat="false" ht="15" hidden="false" customHeight="true" outlineLevel="0" collapsed="false">
      <c r="A7" s="23" t="n">
        <v>3</v>
      </c>
      <c r="B7" s="23" t="s">
        <v>12</v>
      </c>
      <c r="C7" s="24" t="n">
        <v>1000</v>
      </c>
    </row>
    <row r="8" customFormat="false" ht="15" hidden="false" customHeight="true" outlineLevel="0" collapsed="false">
      <c r="A8" s="23" t="n">
        <v>4</v>
      </c>
      <c r="B8" s="23" t="s">
        <v>14</v>
      </c>
      <c r="C8" s="24" t="n">
        <v>2500</v>
      </c>
    </row>
    <row r="9" customFormat="false" ht="15" hidden="false" customHeight="true" outlineLevel="0" collapsed="false">
      <c r="A9" s="23" t="n">
        <v>5</v>
      </c>
      <c r="B9" s="23" t="s">
        <v>16</v>
      </c>
      <c r="C9" s="24" t="n">
        <v>2500</v>
      </c>
    </row>
    <row r="10" customFormat="false" ht="15" hidden="false" customHeight="true" outlineLevel="0" collapsed="false">
      <c r="A10" s="23" t="n">
        <v>6</v>
      </c>
      <c r="B10" s="23" t="s">
        <v>18</v>
      </c>
      <c r="C10" s="24" t="n">
        <v>2500</v>
      </c>
    </row>
    <row r="11" customFormat="false" ht="15" hidden="false" customHeight="true" outlineLevel="0" collapsed="false">
      <c r="A11" s="23" t="n">
        <v>7</v>
      </c>
      <c r="B11" s="23" t="s">
        <v>20</v>
      </c>
      <c r="C11" s="24" t="n">
        <v>2500</v>
      </c>
    </row>
    <row r="12" customFormat="false" ht="15" hidden="false" customHeight="true" outlineLevel="0" collapsed="false">
      <c r="A12" s="23" t="n">
        <v>8</v>
      </c>
      <c r="B12" s="23" t="s">
        <v>21</v>
      </c>
      <c r="C12" s="24" t="n">
        <v>2500</v>
      </c>
    </row>
    <row r="13" customFormat="false" ht="15" hidden="false" customHeight="true" outlineLevel="0" collapsed="false">
      <c r="A13" s="23" t="n">
        <v>9</v>
      </c>
      <c r="B13" s="23" t="s">
        <v>22</v>
      </c>
      <c r="C13" s="24" t="n">
        <v>1000</v>
      </c>
    </row>
    <row r="14" customFormat="false" ht="15" hidden="false" customHeight="true" outlineLevel="0" collapsed="false">
      <c r="A14" s="23" t="n">
        <v>10</v>
      </c>
      <c r="B14" s="23" t="s">
        <v>23</v>
      </c>
      <c r="C14" s="24" t="n">
        <v>4000</v>
      </c>
    </row>
    <row r="15" customFormat="false" ht="15" hidden="false" customHeight="true" outlineLevel="0" collapsed="false">
      <c r="A15" s="23" t="n">
        <v>11</v>
      </c>
      <c r="B15" s="23" t="s">
        <v>24</v>
      </c>
      <c r="C15" s="24" t="n">
        <v>2500</v>
      </c>
    </row>
    <row r="16" customFormat="false" ht="15" hidden="false" customHeight="true" outlineLevel="0" collapsed="false">
      <c r="A16" s="23" t="n">
        <v>12</v>
      </c>
      <c r="B16" s="23" t="s">
        <v>25</v>
      </c>
      <c r="C16" s="24" t="n">
        <v>1000</v>
      </c>
    </row>
    <row r="17" customFormat="false" ht="15" hidden="false" customHeight="true" outlineLevel="0" collapsed="false">
      <c r="A17" s="23" t="n">
        <v>13</v>
      </c>
      <c r="B17" s="23" t="s">
        <v>23</v>
      </c>
      <c r="C17" s="24" t="n">
        <v>1000</v>
      </c>
    </row>
    <row r="18" customFormat="false" ht="15" hidden="false" customHeight="true" outlineLevel="0" collapsed="false">
      <c r="A18" s="23" t="n">
        <v>14</v>
      </c>
      <c r="B18" s="23" t="s">
        <v>27</v>
      </c>
      <c r="C18" s="24" t="n">
        <v>2500</v>
      </c>
    </row>
    <row r="19" customFormat="false" ht="15" hidden="false" customHeight="true" outlineLevel="0" collapsed="false">
      <c r="A19" s="23" t="n">
        <v>15</v>
      </c>
      <c r="B19" s="23" t="s">
        <v>13</v>
      </c>
      <c r="C19" s="24" t="n">
        <v>500</v>
      </c>
    </row>
    <row r="20" customFormat="false" ht="15" hidden="false" customHeight="true" outlineLevel="0" collapsed="false">
      <c r="A20" s="23" t="n">
        <v>16</v>
      </c>
      <c r="B20" s="23" t="s">
        <v>30</v>
      </c>
      <c r="C20" s="24" t="n">
        <v>5000</v>
      </c>
    </row>
    <row r="21" customFormat="false" ht="15" hidden="false" customHeight="true" outlineLevel="0" collapsed="false">
      <c r="A21" s="23" t="n">
        <v>17</v>
      </c>
      <c r="B21" s="23" t="s">
        <v>32</v>
      </c>
      <c r="C21" s="24" t="n">
        <v>3000</v>
      </c>
    </row>
    <row r="22" customFormat="false" ht="15" hidden="false" customHeight="true" outlineLevel="0" collapsed="false">
      <c r="A22" s="23" t="n">
        <v>18</v>
      </c>
      <c r="B22" s="23" t="s">
        <v>34</v>
      </c>
      <c r="C22" s="24" t="n">
        <v>500</v>
      </c>
    </row>
    <row r="23" customFormat="false" ht="15" hidden="false" customHeight="true" outlineLevel="0" collapsed="false">
      <c r="A23" s="23" t="n">
        <v>19</v>
      </c>
      <c r="B23" s="23" t="s">
        <v>36</v>
      </c>
      <c r="C23" s="24" t="n">
        <v>2000</v>
      </c>
    </row>
    <row r="24" customFormat="false" ht="15" hidden="false" customHeight="true" outlineLevel="0" collapsed="false">
      <c r="A24" s="23" t="n">
        <v>20</v>
      </c>
      <c r="B24" s="23" t="s">
        <v>38</v>
      </c>
      <c r="C24" s="24" t="n">
        <v>1000</v>
      </c>
    </row>
    <row r="25" customFormat="false" ht="15" hidden="false" customHeight="true" outlineLevel="0" collapsed="false">
      <c r="A25" s="23" t="n">
        <v>21</v>
      </c>
      <c r="B25" s="23" t="s">
        <v>39</v>
      </c>
      <c r="C25" s="24" t="n">
        <v>4500</v>
      </c>
    </row>
    <row r="26" customFormat="false" ht="15" hidden="false" customHeight="true" outlineLevel="0" collapsed="false">
      <c r="A26" s="23" t="n">
        <v>22</v>
      </c>
      <c r="B26" s="23" t="s">
        <v>41</v>
      </c>
      <c r="C26" s="24" t="n">
        <v>15000</v>
      </c>
    </row>
    <row r="27" customFormat="false" ht="15" hidden="false" customHeight="true" outlineLevel="0" collapsed="false">
      <c r="A27" s="23" t="n">
        <v>23</v>
      </c>
      <c r="B27" s="23" t="s">
        <v>43</v>
      </c>
      <c r="C27" s="24" t="n">
        <v>5000</v>
      </c>
    </row>
    <row r="28" customFormat="false" ht="15" hidden="false" customHeight="true" outlineLevel="0" collapsed="false">
      <c r="A28" s="23" t="n">
        <v>24</v>
      </c>
      <c r="B28" s="23" t="s">
        <v>45</v>
      </c>
      <c r="C28" s="24" t="n">
        <v>2500</v>
      </c>
    </row>
    <row r="29" customFormat="false" ht="15" hidden="false" customHeight="true" outlineLevel="0" collapsed="false">
      <c r="A29" s="25"/>
      <c r="B29" s="26" t="s">
        <v>1</v>
      </c>
      <c r="C29" s="27" t="n">
        <f aca="false">SUM(C5:C28)</f>
        <v>96500</v>
      </c>
    </row>
    <row r="31" customFormat="false" ht="15" hidden="false" customHeight="true" outlineLevel="0" collapsed="false">
      <c r="A31" s="21" t="s">
        <v>5</v>
      </c>
      <c r="B31" s="21"/>
      <c r="C31" s="21"/>
    </row>
    <row r="32" customFormat="false" ht="15" hidden="false" customHeight="true" outlineLevel="0" collapsed="false">
      <c r="A32" s="22" t="s">
        <v>6</v>
      </c>
      <c r="B32" s="22" t="s">
        <v>7</v>
      </c>
      <c r="C32" s="22" t="s">
        <v>8</v>
      </c>
    </row>
    <row r="33" customFormat="false" ht="15" hidden="false" customHeight="true" outlineLevel="0" collapsed="false">
      <c r="A33" s="23" t="n">
        <v>1</v>
      </c>
      <c r="B33" s="23" t="s">
        <v>10</v>
      </c>
      <c r="C33" s="24" t="n">
        <v>200</v>
      </c>
    </row>
    <row r="34" customFormat="false" ht="15" hidden="false" customHeight="true" outlineLevel="0" collapsed="false">
      <c r="A34" s="23" t="n">
        <v>2</v>
      </c>
      <c r="B34" s="23" t="s">
        <v>11</v>
      </c>
      <c r="C34" s="24" t="n">
        <v>6000</v>
      </c>
    </row>
    <row r="35" customFormat="false" ht="15" hidden="false" customHeight="true" outlineLevel="0" collapsed="false">
      <c r="A35" s="23" t="n">
        <v>3</v>
      </c>
      <c r="B35" s="23" t="s">
        <v>13</v>
      </c>
      <c r="C35" s="24" t="n">
        <v>2000</v>
      </c>
    </row>
    <row r="36" customFormat="false" ht="15" hidden="false" customHeight="true" outlineLevel="0" collapsed="false">
      <c r="A36" s="23" t="n">
        <v>4</v>
      </c>
      <c r="B36" s="23" t="s">
        <v>15</v>
      </c>
      <c r="C36" s="24" t="n">
        <v>350</v>
      </c>
    </row>
    <row r="37" customFormat="false" ht="15" hidden="false" customHeight="true" outlineLevel="0" collapsed="false">
      <c r="A37" s="23" t="n">
        <v>5</v>
      </c>
      <c r="B37" s="23" t="s">
        <v>17</v>
      </c>
      <c r="C37" s="24" t="n">
        <v>200</v>
      </c>
    </row>
    <row r="38" customFormat="false" ht="15" hidden="false" customHeight="true" outlineLevel="0" collapsed="false">
      <c r="A38" s="23" t="n">
        <v>6</v>
      </c>
      <c r="B38" s="23" t="s">
        <v>19</v>
      </c>
      <c r="C38" s="24" t="n">
        <v>1000</v>
      </c>
    </row>
    <row r="39" customFormat="false" ht="15" hidden="false" customHeight="true" outlineLevel="0" collapsed="false">
      <c r="A39" s="23" t="n">
        <v>7</v>
      </c>
      <c r="B39" s="23" t="s">
        <v>11</v>
      </c>
      <c r="C39" s="24" t="n">
        <v>9000</v>
      </c>
    </row>
    <row r="40" customFormat="false" ht="15" hidden="false" customHeight="true" outlineLevel="0" collapsed="false">
      <c r="A40" s="23" t="n">
        <v>8</v>
      </c>
      <c r="B40" s="23" t="s">
        <v>13</v>
      </c>
      <c r="C40" s="24" t="n">
        <v>300</v>
      </c>
    </row>
    <row r="41" customFormat="false" ht="15" hidden="false" customHeight="true" outlineLevel="0" collapsed="false">
      <c r="A41" s="23" t="n">
        <v>9</v>
      </c>
      <c r="B41" s="23" t="s">
        <v>13</v>
      </c>
      <c r="C41" s="24" t="n">
        <v>240</v>
      </c>
    </row>
    <row r="42" customFormat="false" ht="15" hidden="false" customHeight="true" outlineLevel="0" collapsed="false">
      <c r="A42" s="23" t="n">
        <v>10</v>
      </c>
      <c r="B42" s="23" t="s">
        <v>11</v>
      </c>
      <c r="C42" s="24" t="n">
        <v>15000</v>
      </c>
    </row>
    <row r="43" customFormat="false" ht="15" hidden="false" customHeight="true" outlineLevel="0" collapsed="false">
      <c r="A43" s="23" t="n">
        <v>11</v>
      </c>
      <c r="B43" s="23" t="s">
        <v>13</v>
      </c>
      <c r="C43" s="24" t="n">
        <v>200</v>
      </c>
    </row>
    <row r="44" customFormat="false" ht="15" hidden="false" customHeight="true" outlineLevel="0" collapsed="false">
      <c r="A44" s="23" t="n">
        <v>12</v>
      </c>
      <c r="B44" s="23" t="s">
        <v>19</v>
      </c>
      <c r="C44" s="24" t="n">
        <v>1000</v>
      </c>
    </row>
    <row r="45" customFormat="false" ht="15" hidden="false" customHeight="true" outlineLevel="0" collapsed="false">
      <c r="A45" s="23" t="n">
        <v>13</v>
      </c>
      <c r="B45" s="23" t="s">
        <v>26</v>
      </c>
      <c r="C45" s="24" t="n">
        <v>1400</v>
      </c>
    </row>
    <row r="46" customFormat="false" ht="15" hidden="false" customHeight="true" outlineLevel="0" collapsed="false">
      <c r="A46" s="23" t="n">
        <v>14</v>
      </c>
      <c r="B46" s="23" t="s">
        <v>28</v>
      </c>
      <c r="C46" s="24" t="n">
        <v>800</v>
      </c>
    </row>
    <row r="47" customFormat="false" ht="15" hidden="false" customHeight="true" outlineLevel="0" collapsed="false">
      <c r="A47" s="23" t="n">
        <v>15</v>
      </c>
      <c r="B47" s="23" t="s">
        <v>29</v>
      </c>
      <c r="C47" s="24" t="n">
        <v>1000</v>
      </c>
    </row>
    <row r="48" customFormat="false" ht="15" hidden="false" customHeight="true" outlineLevel="0" collapsed="false">
      <c r="A48" s="23" t="n">
        <v>16</v>
      </c>
      <c r="B48" s="23" t="s">
        <v>31</v>
      </c>
      <c r="C48" s="24" t="n">
        <v>500</v>
      </c>
    </row>
    <row r="49" customFormat="false" ht="15" hidden="false" customHeight="true" outlineLevel="0" collapsed="false">
      <c r="A49" s="23" t="n">
        <v>17</v>
      </c>
      <c r="B49" s="23" t="s">
        <v>33</v>
      </c>
      <c r="C49" s="24" t="n">
        <v>4000</v>
      </c>
    </row>
    <row r="50" customFormat="false" ht="15" hidden="false" customHeight="true" outlineLevel="0" collapsed="false">
      <c r="A50" s="23" t="n">
        <v>18</v>
      </c>
      <c r="B50" s="23" t="s">
        <v>35</v>
      </c>
      <c r="C50" s="24" t="n">
        <v>1500</v>
      </c>
    </row>
    <row r="51" customFormat="false" ht="15" hidden="false" customHeight="true" outlineLevel="0" collapsed="false">
      <c r="A51" s="23" t="n">
        <v>19</v>
      </c>
      <c r="B51" s="23" t="s">
        <v>37</v>
      </c>
      <c r="C51" s="24" t="n">
        <v>4700</v>
      </c>
    </row>
    <row r="52" customFormat="false" ht="15" hidden="false" customHeight="true" outlineLevel="0" collapsed="false">
      <c r="A52" s="23" t="n">
        <v>20</v>
      </c>
      <c r="B52" s="23" t="s">
        <v>17</v>
      </c>
      <c r="C52" s="24" t="n">
        <v>200</v>
      </c>
    </row>
    <row r="53" customFormat="false" ht="15" hidden="false" customHeight="true" outlineLevel="0" collapsed="false">
      <c r="A53" s="23" t="n">
        <v>21</v>
      </c>
      <c r="B53" s="23" t="s">
        <v>40</v>
      </c>
      <c r="C53" s="24" t="n">
        <v>6000</v>
      </c>
    </row>
    <row r="54" customFormat="false" ht="15" hidden="false" customHeight="true" outlineLevel="0" collapsed="false">
      <c r="A54" s="23" t="n">
        <v>22</v>
      </c>
      <c r="B54" s="23" t="s">
        <v>42</v>
      </c>
      <c r="C54" s="24" t="n">
        <v>1500</v>
      </c>
    </row>
    <row r="55" customFormat="false" ht="15" hidden="false" customHeight="true" outlineLevel="0" collapsed="false">
      <c r="A55" s="23" t="n">
        <v>23</v>
      </c>
      <c r="B55" s="23" t="s">
        <v>44</v>
      </c>
      <c r="C55" s="24" t="n">
        <v>2000</v>
      </c>
    </row>
    <row r="56" customFormat="false" ht="15" hidden="false" customHeight="true" outlineLevel="0" collapsed="false">
      <c r="A56" s="23" t="n">
        <v>24</v>
      </c>
      <c r="B56" s="23" t="s">
        <v>46</v>
      </c>
      <c r="C56" s="24" t="n">
        <v>300</v>
      </c>
    </row>
    <row r="57" customFormat="false" ht="15" hidden="false" customHeight="true" outlineLevel="0" collapsed="false">
      <c r="A57" s="23" t="n">
        <v>25</v>
      </c>
      <c r="B57" s="23" t="s">
        <v>47</v>
      </c>
      <c r="C57" s="24" t="n">
        <v>1000</v>
      </c>
    </row>
    <row r="58" customFormat="false" ht="15" hidden="false" customHeight="true" outlineLevel="0" collapsed="false">
      <c r="A58" s="28"/>
      <c r="B58" s="29" t="s">
        <v>2</v>
      </c>
      <c r="C58" s="30" t="n">
        <f aca="false">SUM(C33:C57)</f>
        <v>60390</v>
      </c>
    </row>
    <row r="60" customFormat="false" ht="15" hidden="false" customHeight="true" outlineLevel="0" collapsed="false">
      <c r="A60" s="31"/>
      <c r="B60" s="32" t="s">
        <v>146</v>
      </c>
      <c r="C60" s="33" t="n">
        <f aca="false">C29-C58</f>
        <v>36110</v>
      </c>
    </row>
  </sheetData>
  <mergeCells count="3">
    <mergeCell ref="A1:C1"/>
    <mergeCell ref="A3:C3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8"/>
    <col collapsed="false" customWidth="true" hidden="false" outlineLevel="0" max="2" min="2" style="19" width="40"/>
    <col collapsed="false" customWidth="true" hidden="false" outlineLevel="0" max="3" min="3" style="19" width="16"/>
  </cols>
  <sheetData>
    <row r="1" customFormat="false" ht="17.25" hidden="false" customHeight="true" outlineLevel="0" collapsed="false">
      <c r="A1" s="20" t="s">
        <v>147</v>
      </c>
      <c r="B1" s="20"/>
      <c r="C1" s="20"/>
    </row>
    <row r="3" customFormat="false" ht="15" hidden="false" customHeight="true" outlineLevel="0" collapsed="false">
      <c r="A3" s="21" t="s">
        <v>4</v>
      </c>
      <c r="B3" s="21"/>
      <c r="C3" s="21"/>
    </row>
    <row r="4" customFormat="false" ht="15" hidden="false" customHeight="true" outlineLevel="0" collapsed="false">
      <c r="A4" s="22" t="s">
        <v>6</v>
      </c>
      <c r="B4" s="22" t="s">
        <v>7</v>
      </c>
      <c r="C4" s="22" t="s">
        <v>8</v>
      </c>
    </row>
    <row r="5" customFormat="false" ht="15" hidden="false" customHeight="true" outlineLevel="0" collapsed="false">
      <c r="A5" s="23" t="n">
        <v>1</v>
      </c>
      <c r="B5" s="23" t="s">
        <v>9</v>
      </c>
      <c r="C5" s="24" t="n">
        <v>3000</v>
      </c>
    </row>
    <row r="6" customFormat="false" ht="15" hidden="false" customHeight="true" outlineLevel="0" collapsed="false">
      <c r="A6" s="23" t="n">
        <v>2</v>
      </c>
      <c r="B6" s="23" t="s">
        <v>48</v>
      </c>
      <c r="C6" s="24" t="n">
        <v>800</v>
      </c>
    </row>
    <row r="7" customFormat="false" ht="15" hidden="false" customHeight="true" outlineLevel="0" collapsed="false">
      <c r="A7" s="23" t="n">
        <v>3</v>
      </c>
      <c r="B7" s="23" t="s">
        <v>9</v>
      </c>
      <c r="C7" s="24" t="n">
        <v>15000</v>
      </c>
    </row>
    <row r="8" customFormat="false" ht="15" hidden="false" customHeight="true" outlineLevel="0" collapsed="false">
      <c r="A8" s="23" t="n">
        <v>4</v>
      </c>
      <c r="B8" s="23" t="s">
        <v>51</v>
      </c>
      <c r="C8" s="24" t="n">
        <v>1001</v>
      </c>
    </row>
    <row r="9" customFormat="false" ht="15" hidden="false" customHeight="true" outlineLevel="0" collapsed="false">
      <c r="A9" s="23" t="n">
        <v>5</v>
      </c>
      <c r="B9" s="23" t="s">
        <v>53</v>
      </c>
      <c r="C9" s="24" t="n">
        <v>501</v>
      </c>
    </row>
    <row r="10" customFormat="false" ht="15" hidden="false" customHeight="true" outlineLevel="0" collapsed="false">
      <c r="A10" s="23" t="n">
        <v>6</v>
      </c>
      <c r="B10" s="23" t="s">
        <v>54</v>
      </c>
      <c r="C10" s="24" t="n">
        <v>3200</v>
      </c>
    </row>
    <row r="11" customFormat="false" ht="15" hidden="false" customHeight="true" outlineLevel="0" collapsed="false">
      <c r="A11" s="23" t="n">
        <v>7</v>
      </c>
      <c r="B11" s="23" t="s">
        <v>56</v>
      </c>
      <c r="C11" s="24" t="n">
        <v>1000</v>
      </c>
    </row>
    <row r="12" customFormat="false" ht="15" hidden="false" customHeight="true" outlineLevel="0" collapsed="false">
      <c r="A12" s="23" t="n">
        <v>8</v>
      </c>
      <c r="B12" s="23" t="s">
        <v>58</v>
      </c>
      <c r="C12" s="24" t="n">
        <v>2200</v>
      </c>
    </row>
    <row r="13" customFormat="false" ht="15" hidden="false" customHeight="true" outlineLevel="0" collapsed="false">
      <c r="A13" s="23" t="n">
        <v>9</v>
      </c>
      <c r="B13" s="23" t="s">
        <v>60</v>
      </c>
      <c r="C13" s="24" t="n">
        <v>1000</v>
      </c>
    </row>
    <row r="14" customFormat="false" ht="15" hidden="false" customHeight="true" outlineLevel="0" collapsed="false">
      <c r="A14" s="23" t="n">
        <v>10</v>
      </c>
      <c r="B14" s="23" t="s">
        <v>22</v>
      </c>
      <c r="C14" s="24" t="n">
        <v>1500</v>
      </c>
    </row>
    <row r="15" customFormat="false" ht="15" hidden="false" customHeight="true" outlineLevel="0" collapsed="false">
      <c r="A15" s="23" t="n">
        <v>11</v>
      </c>
      <c r="B15" s="23" t="s">
        <v>63</v>
      </c>
      <c r="C15" s="24" t="n">
        <v>1500</v>
      </c>
    </row>
    <row r="16" customFormat="false" ht="15" hidden="false" customHeight="true" outlineLevel="0" collapsed="false">
      <c r="A16" s="23" t="n">
        <v>12</v>
      </c>
      <c r="B16" s="23" t="s">
        <v>65</v>
      </c>
      <c r="C16" s="24" t="n">
        <v>2500</v>
      </c>
    </row>
    <row r="17" customFormat="false" ht="15" hidden="false" customHeight="true" outlineLevel="0" collapsed="false">
      <c r="A17" s="23" t="n">
        <v>13</v>
      </c>
      <c r="B17" s="23" t="s">
        <v>67</v>
      </c>
      <c r="C17" s="24" t="n">
        <v>1000</v>
      </c>
    </row>
    <row r="18" customFormat="false" ht="15" hidden="false" customHeight="true" outlineLevel="0" collapsed="false">
      <c r="A18" s="23" t="n">
        <v>14</v>
      </c>
      <c r="B18" s="23" t="s">
        <v>69</v>
      </c>
      <c r="C18" s="24" t="n">
        <v>5000</v>
      </c>
    </row>
    <row r="19" customFormat="false" ht="15" hidden="false" customHeight="true" outlineLevel="0" collapsed="false">
      <c r="A19" s="23" t="n">
        <v>15</v>
      </c>
      <c r="B19" s="23" t="s">
        <v>71</v>
      </c>
      <c r="C19" s="24" t="n">
        <v>2500</v>
      </c>
    </row>
    <row r="20" customFormat="false" ht="15" hidden="false" customHeight="true" outlineLevel="0" collapsed="false">
      <c r="A20" s="23" t="n">
        <v>16</v>
      </c>
      <c r="B20" s="23" t="s">
        <v>27</v>
      </c>
      <c r="C20" s="24" t="n">
        <v>2500</v>
      </c>
    </row>
    <row r="21" customFormat="false" ht="15" hidden="false" customHeight="true" outlineLevel="0" collapsed="false">
      <c r="A21" s="23" t="n">
        <v>17</v>
      </c>
      <c r="B21" s="23" t="s">
        <v>63</v>
      </c>
      <c r="C21" s="24" t="n">
        <v>500</v>
      </c>
    </row>
    <row r="22" customFormat="false" ht="15" hidden="false" customHeight="true" outlineLevel="0" collapsed="false">
      <c r="A22" s="23" t="n">
        <v>18</v>
      </c>
      <c r="B22" s="23" t="s">
        <v>75</v>
      </c>
      <c r="C22" s="24" t="n">
        <v>3000</v>
      </c>
    </row>
    <row r="23" customFormat="false" ht="15" hidden="false" customHeight="true" outlineLevel="0" collapsed="false">
      <c r="A23" s="23" t="n">
        <v>19</v>
      </c>
      <c r="B23" s="23" t="s">
        <v>77</v>
      </c>
      <c r="C23" s="24" t="n">
        <v>2500</v>
      </c>
    </row>
    <row r="24" customFormat="false" ht="15" hidden="false" customHeight="true" outlineLevel="0" collapsed="false">
      <c r="A24" s="23" t="n">
        <v>20</v>
      </c>
      <c r="B24" s="23" t="s">
        <v>79</v>
      </c>
      <c r="C24" s="24" t="n">
        <v>1000</v>
      </c>
    </row>
    <row r="25" customFormat="false" ht="15" hidden="false" customHeight="true" outlineLevel="0" collapsed="false">
      <c r="A25" s="23" t="n">
        <v>21</v>
      </c>
      <c r="B25" s="23" t="s">
        <v>81</v>
      </c>
      <c r="C25" s="24" t="n">
        <v>1000</v>
      </c>
    </row>
    <row r="26" customFormat="false" ht="15" hidden="false" customHeight="true" outlineLevel="0" collapsed="false">
      <c r="A26" s="23" t="n">
        <v>22</v>
      </c>
      <c r="B26" s="23" t="s">
        <v>83</v>
      </c>
      <c r="C26" s="24" t="n">
        <v>1500</v>
      </c>
    </row>
    <row r="27" customFormat="false" ht="15" hidden="false" customHeight="true" outlineLevel="0" collapsed="false">
      <c r="A27" s="23" t="n">
        <v>23</v>
      </c>
      <c r="B27" s="23" t="s">
        <v>85</v>
      </c>
      <c r="C27" s="24" t="n">
        <v>1000</v>
      </c>
    </row>
    <row r="28" customFormat="false" ht="15" hidden="false" customHeight="true" outlineLevel="0" collapsed="false">
      <c r="A28" s="23" t="n">
        <v>24</v>
      </c>
      <c r="B28" s="23" t="s">
        <v>87</v>
      </c>
      <c r="C28" s="24" t="n">
        <v>500</v>
      </c>
    </row>
    <row r="29" customFormat="false" ht="15" hidden="false" customHeight="true" outlineLevel="0" collapsed="false">
      <c r="A29" s="23" t="n">
        <v>25</v>
      </c>
      <c r="B29" s="23" t="s">
        <v>89</v>
      </c>
      <c r="C29" s="24" t="n">
        <v>500</v>
      </c>
    </row>
    <row r="30" customFormat="false" ht="15" hidden="false" customHeight="true" outlineLevel="0" collapsed="false">
      <c r="A30" s="23" t="n">
        <v>26</v>
      </c>
      <c r="B30" s="23" t="s">
        <v>90</v>
      </c>
      <c r="C30" s="24" t="n">
        <v>2000</v>
      </c>
    </row>
    <row r="31" customFormat="false" ht="15" hidden="false" customHeight="true" outlineLevel="0" collapsed="false">
      <c r="A31" s="23" t="n">
        <v>27</v>
      </c>
      <c r="B31" s="23" t="s">
        <v>92</v>
      </c>
      <c r="C31" s="24" t="n">
        <v>1000</v>
      </c>
    </row>
    <row r="32" customFormat="false" ht="15" hidden="false" customHeight="true" outlineLevel="0" collapsed="false">
      <c r="A32" s="23" t="n">
        <v>28</v>
      </c>
      <c r="B32" s="23" t="s">
        <v>94</v>
      </c>
      <c r="C32" s="24" t="n">
        <v>500</v>
      </c>
    </row>
    <row r="33" customFormat="false" ht="15" hidden="false" customHeight="true" outlineLevel="0" collapsed="false">
      <c r="A33" s="23" t="n">
        <v>29</v>
      </c>
      <c r="B33" s="23" t="s">
        <v>96</v>
      </c>
      <c r="C33" s="24" t="n">
        <v>1000</v>
      </c>
    </row>
    <row r="34" customFormat="false" ht="15" hidden="false" customHeight="true" outlineLevel="0" collapsed="false">
      <c r="A34" s="23" t="n">
        <v>30</v>
      </c>
      <c r="B34" s="23" t="s">
        <v>98</v>
      </c>
      <c r="C34" s="24" t="n">
        <v>5000</v>
      </c>
    </row>
    <row r="35" customFormat="false" ht="15" hidden="false" customHeight="true" outlineLevel="0" collapsed="false">
      <c r="A35" s="23" t="n">
        <v>31</v>
      </c>
      <c r="B35" s="23" t="s">
        <v>100</v>
      </c>
      <c r="C35" s="24" t="n">
        <v>500</v>
      </c>
    </row>
    <row r="36" customFormat="false" ht="15" hidden="false" customHeight="true" outlineLevel="0" collapsed="false">
      <c r="A36" s="23" t="n">
        <v>32</v>
      </c>
      <c r="B36" s="23" t="s">
        <v>101</v>
      </c>
      <c r="C36" s="24" t="n">
        <v>2016</v>
      </c>
    </row>
    <row r="37" customFormat="false" ht="15" hidden="false" customHeight="true" outlineLevel="0" collapsed="false">
      <c r="A37" s="23" t="n">
        <v>33</v>
      </c>
      <c r="B37" s="23" t="s">
        <v>103</v>
      </c>
      <c r="C37" s="24" t="n">
        <v>3000</v>
      </c>
    </row>
    <row r="38" customFormat="false" ht="15" hidden="false" customHeight="true" outlineLevel="0" collapsed="false">
      <c r="A38" s="23" t="n">
        <v>34</v>
      </c>
      <c r="B38" s="23" t="s">
        <v>105</v>
      </c>
      <c r="C38" s="24" t="n">
        <v>2000</v>
      </c>
    </row>
    <row r="39" customFormat="false" ht="15" hidden="false" customHeight="true" outlineLevel="0" collapsed="false">
      <c r="A39" s="23" t="n">
        <v>35</v>
      </c>
      <c r="B39" s="23" t="s">
        <v>106</v>
      </c>
      <c r="C39" s="24" t="n">
        <v>1500</v>
      </c>
    </row>
    <row r="40" customFormat="false" ht="15" hidden="false" customHeight="true" outlineLevel="0" collapsed="false">
      <c r="A40" s="23" t="n">
        <v>36</v>
      </c>
      <c r="B40" s="23" t="s">
        <v>108</v>
      </c>
      <c r="C40" s="24" t="n">
        <v>2000</v>
      </c>
    </row>
    <row r="41" customFormat="false" ht="15" hidden="false" customHeight="true" outlineLevel="0" collapsed="false">
      <c r="A41" s="23" t="n">
        <v>37</v>
      </c>
      <c r="B41" s="23" t="s">
        <v>110</v>
      </c>
      <c r="C41" s="24" t="n">
        <v>1000</v>
      </c>
    </row>
    <row r="42" customFormat="false" ht="15" hidden="false" customHeight="true" outlineLevel="0" collapsed="false">
      <c r="A42" s="23" t="n">
        <v>38</v>
      </c>
      <c r="B42" s="23" t="s">
        <v>112</v>
      </c>
      <c r="C42" s="24" t="n">
        <v>2000</v>
      </c>
    </row>
    <row r="43" customFormat="false" ht="15" hidden="false" customHeight="true" outlineLevel="0" collapsed="false">
      <c r="A43" s="23" t="n">
        <v>39</v>
      </c>
      <c r="B43" s="23" t="s">
        <v>114</v>
      </c>
      <c r="C43" s="24" t="n">
        <v>1000</v>
      </c>
    </row>
    <row r="44" customFormat="false" ht="15" hidden="false" customHeight="true" outlineLevel="0" collapsed="false">
      <c r="A44" s="23" t="n">
        <v>40</v>
      </c>
      <c r="B44" s="23" t="s">
        <v>115</v>
      </c>
      <c r="C44" s="24" t="n">
        <v>5000</v>
      </c>
    </row>
    <row r="45" customFormat="false" ht="15" hidden="false" customHeight="true" outlineLevel="0" collapsed="false">
      <c r="A45" s="23" t="n">
        <v>41</v>
      </c>
      <c r="B45" s="23" t="s">
        <v>117</v>
      </c>
      <c r="C45" s="24" t="n">
        <v>1700</v>
      </c>
    </row>
    <row r="46" customFormat="false" ht="15" hidden="false" customHeight="true" outlineLevel="0" collapsed="false">
      <c r="A46" s="23" t="n">
        <v>42</v>
      </c>
      <c r="B46" s="23" t="s">
        <v>119</v>
      </c>
      <c r="C46" s="24" t="n">
        <v>2000</v>
      </c>
    </row>
    <row r="47" customFormat="false" ht="15" hidden="false" customHeight="true" outlineLevel="0" collapsed="false">
      <c r="A47" s="23" t="n">
        <v>43</v>
      </c>
      <c r="B47" s="23" t="s">
        <v>121</v>
      </c>
      <c r="C47" s="24" t="n">
        <v>1000</v>
      </c>
    </row>
    <row r="48" customFormat="false" ht="15" hidden="false" customHeight="true" outlineLevel="0" collapsed="false">
      <c r="A48" s="23" t="n">
        <v>44</v>
      </c>
      <c r="B48" s="23" t="s">
        <v>122</v>
      </c>
      <c r="C48" s="24" t="n">
        <v>4000</v>
      </c>
    </row>
    <row r="49" customFormat="false" ht="15" hidden="false" customHeight="true" outlineLevel="0" collapsed="false">
      <c r="A49" s="23" t="n">
        <v>45</v>
      </c>
      <c r="B49" s="23" t="s">
        <v>124</v>
      </c>
      <c r="C49" s="24" t="n">
        <v>7000</v>
      </c>
    </row>
    <row r="50" customFormat="false" ht="15" hidden="false" customHeight="true" outlineLevel="0" collapsed="false">
      <c r="A50" s="25"/>
      <c r="B50" s="26" t="s">
        <v>1</v>
      </c>
      <c r="C50" s="27" t="n">
        <f aca="false">SUM(C5:C49)</f>
        <v>100918</v>
      </c>
    </row>
    <row r="52" customFormat="false" ht="15" hidden="false" customHeight="true" outlineLevel="0" collapsed="false">
      <c r="A52" s="21" t="s">
        <v>5</v>
      </c>
      <c r="B52" s="21"/>
      <c r="C52" s="21"/>
    </row>
    <row r="53" customFormat="false" ht="15" hidden="false" customHeight="true" outlineLevel="0" collapsed="false">
      <c r="A53" s="22" t="s">
        <v>6</v>
      </c>
      <c r="B53" s="22" t="s">
        <v>7</v>
      </c>
      <c r="C53" s="22" t="s">
        <v>8</v>
      </c>
    </row>
    <row r="54" customFormat="false" ht="15" hidden="false" customHeight="true" outlineLevel="0" collapsed="false">
      <c r="A54" s="23" t="n">
        <v>1</v>
      </c>
      <c r="B54" s="23" t="s">
        <v>49</v>
      </c>
      <c r="C54" s="24" t="n">
        <v>2000</v>
      </c>
    </row>
    <row r="55" customFormat="false" ht="15" hidden="false" customHeight="true" outlineLevel="0" collapsed="false">
      <c r="A55" s="23" t="n">
        <v>2</v>
      </c>
      <c r="B55" s="23" t="s">
        <v>50</v>
      </c>
      <c r="C55" s="24" t="n">
        <v>800</v>
      </c>
    </row>
    <row r="56" customFormat="false" ht="15" hidden="false" customHeight="true" outlineLevel="0" collapsed="false">
      <c r="A56" s="23" t="n">
        <v>3</v>
      </c>
      <c r="B56" s="23" t="s">
        <v>52</v>
      </c>
      <c r="C56" s="24" t="n">
        <v>1500</v>
      </c>
    </row>
    <row r="57" customFormat="false" ht="15" hidden="false" customHeight="true" outlineLevel="0" collapsed="false">
      <c r="A57" s="23" t="n">
        <v>4</v>
      </c>
      <c r="B57" s="23" t="s">
        <v>52</v>
      </c>
      <c r="C57" s="24" t="n">
        <v>13000</v>
      </c>
    </row>
    <row r="58" customFormat="false" ht="15" hidden="false" customHeight="true" outlineLevel="0" collapsed="false">
      <c r="A58" s="23" t="n">
        <v>5</v>
      </c>
      <c r="B58" s="23" t="s">
        <v>55</v>
      </c>
      <c r="C58" s="24" t="n">
        <v>500</v>
      </c>
    </row>
    <row r="59" customFormat="false" ht="15" hidden="false" customHeight="true" outlineLevel="0" collapsed="false">
      <c r="A59" s="23" t="n">
        <v>6</v>
      </c>
      <c r="B59" s="23" t="s">
        <v>57</v>
      </c>
      <c r="C59" s="24" t="n">
        <v>250</v>
      </c>
    </row>
    <row r="60" customFormat="false" ht="15" hidden="false" customHeight="true" outlineLevel="0" collapsed="false">
      <c r="A60" s="23" t="n">
        <v>7</v>
      </c>
      <c r="B60" s="23" t="s">
        <v>59</v>
      </c>
      <c r="C60" s="24" t="n">
        <v>1000</v>
      </c>
    </row>
    <row r="61" customFormat="false" ht="15" hidden="false" customHeight="true" outlineLevel="0" collapsed="false">
      <c r="A61" s="23" t="n">
        <v>8</v>
      </c>
      <c r="B61" s="23" t="s">
        <v>61</v>
      </c>
      <c r="C61" s="24" t="n">
        <v>1200</v>
      </c>
    </row>
    <row r="62" customFormat="false" ht="15" hidden="false" customHeight="true" outlineLevel="0" collapsed="false">
      <c r="A62" s="23" t="n">
        <v>9</v>
      </c>
      <c r="B62" s="23" t="s">
        <v>62</v>
      </c>
      <c r="C62" s="24" t="n">
        <v>150</v>
      </c>
    </row>
    <row r="63" customFormat="false" ht="15" hidden="false" customHeight="true" outlineLevel="0" collapsed="false">
      <c r="A63" s="23" t="n">
        <v>10</v>
      </c>
      <c r="B63" s="23" t="s">
        <v>64</v>
      </c>
      <c r="C63" s="24" t="n">
        <v>4000</v>
      </c>
    </row>
    <row r="64" customFormat="false" ht="15" hidden="false" customHeight="true" outlineLevel="0" collapsed="false">
      <c r="A64" s="23" t="n">
        <v>11</v>
      </c>
      <c r="B64" s="23" t="s">
        <v>66</v>
      </c>
      <c r="C64" s="24" t="n">
        <v>200</v>
      </c>
    </row>
    <row r="65" customFormat="false" ht="15" hidden="false" customHeight="true" outlineLevel="0" collapsed="false">
      <c r="A65" s="23" t="n">
        <v>12</v>
      </c>
      <c r="B65" s="23" t="s">
        <v>68</v>
      </c>
      <c r="C65" s="24" t="n">
        <v>200</v>
      </c>
    </row>
    <row r="66" customFormat="false" ht="15" hidden="false" customHeight="true" outlineLevel="0" collapsed="false">
      <c r="A66" s="23" t="n">
        <v>13</v>
      </c>
      <c r="B66" s="23" t="s">
        <v>70</v>
      </c>
      <c r="C66" s="24" t="n">
        <v>3380</v>
      </c>
    </row>
    <row r="67" customFormat="false" ht="15" hidden="false" customHeight="true" outlineLevel="0" collapsed="false">
      <c r="A67" s="23" t="n">
        <v>14</v>
      </c>
      <c r="B67" s="23" t="s">
        <v>72</v>
      </c>
      <c r="C67" s="24" t="n">
        <v>2700</v>
      </c>
    </row>
    <row r="68" customFormat="false" ht="15" hidden="false" customHeight="true" outlineLevel="0" collapsed="false">
      <c r="A68" s="23" t="n">
        <v>15</v>
      </c>
      <c r="B68" s="23" t="s">
        <v>73</v>
      </c>
      <c r="C68" s="24" t="n">
        <v>400</v>
      </c>
    </row>
    <row r="69" customFormat="false" ht="15" hidden="false" customHeight="true" outlineLevel="0" collapsed="false">
      <c r="A69" s="23" t="n">
        <v>16</v>
      </c>
      <c r="B69" s="23" t="s">
        <v>74</v>
      </c>
      <c r="C69" s="24" t="n">
        <v>2700</v>
      </c>
    </row>
    <row r="70" customFormat="false" ht="15" hidden="false" customHeight="true" outlineLevel="0" collapsed="false">
      <c r="A70" s="23" t="n">
        <v>17</v>
      </c>
      <c r="B70" s="23" t="s">
        <v>76</v>
      </c>
      <c r="C70" s="24" t="n">
        <v>100</v>
      </c>
    </row>
    <row r="71" customFormat="false" ht="15" hidden="false" customHeight="true" outlineLevel="0" collapsed="false">
      <c r="A71" s="23" t="n">
        <v>18</v>
      </c>
      <c r="B71" s="23" t="s">
        <v>78</v>
      </c>
      <c r="C71" s="24" t="n">
        <v>1000</v>
      </c>
    </row>
    <row r="72" customFormat="false" ht="15" hidden="false" customHeight="true" outlineLevel="0" collapsed="false">
      <c r="A72" s="23" t="n">
        <v>19</v>
      </c>
      <c r="B72" s="23" t="s">
        <v>80</v>
      </c>
      <c r="C72" s="24" t="n">
        <v>1200</v>
      </c>
    </row>
    <row r="73" customFormat="false" ht="15" hidden="false" customHeight="true" outlineLevel="0" collapsed="false">
      <c r="A73" s="23" t="n">
        <v>20</v>
      </c>
      <c r="B73" s="23" t="s">
        <v>82</v>
      </c>
      <c r="C73" s="24" t="n">
        <v>1800</v>
      </c>
    </row>
    <row r="74" customFormat="false" ht="15" hidden="false" customHeight="true" outlineLevel="0" collapsed="false">
      <c r="A74" s="23" t="n">
        <v>21</v>
      </c>
      <c r="B74" s="23" t="s">
        <v>84</v>
      </c>
      <c r="C74" s="24" t="n">
        <v>1700</v>
      </c>
    </row>
    <row r="75" customFormat="false" ht="15" hidden="false" customHeight="true" outlineLevel="0" collapsed="false">
      <c r="A75" s="23" t="n">
        <v>22</v>
      </c>
      <c r="B75" s="23" t="s">
        <v>86</v>
      </c>
      <c r="C75" s="24" t="n">
        <v>2400</v>
      </c>
    </row>
    <row r="76" customFormat="false" ht="15" hidden="false" customHeight="true" outlineLevel="0" collapsed="false">
      <c r="A76" s="23" t="n">
        <v>23</v>
      </c>
      <c r="B76" s="23" t="s">
        <v>88</v>
      </c>
      <c r="C76" s="24" t="n">
        <v>750</v>
      </c>
    </row>
    <row r="77" customFormat="false" ht="15" hidden="false" customHeight="true" outlineLevel="0" collapsed="false">
      <c r="A77" s="23" t="n">
        <v>24</v>
      </c>
      <c r="B77" s="23" t="s">
        <v>86</v>
      </c>
      <c r="C77" s="24" t="n">
        <v>1220</v>
      </c>
    </row>
    <row r="78" customFormat="false" ht="15" hidden="false" customHeight="true" outlineLevel="0" collapsed="false">
      <c r="A78" s="23" t="n">
        <v>25</v>
      </c>
      <c r="B78" s="23" t="s">
        <v>91</v>
      </c>
      <c r="C78" s="24" t="n">
        <v>750</v>
      </c>
    </row>
    <row r="79" customFormat="false" ht="15" hidden="false" customHeight="true" outlineLevel="0" collapsed="false">
      <c r="A79" s="23" t="n">
        <v>26</v>
      </c>
      <c r="B79" s="23" t="s">
        <v>93</v>
      </c>
      <c r="C79" s="24" t="n">
        <v>500</v>
      </c>
    </row>
    <row r="80" customFormat="false" ht="15" hidden="false" customHeight="true" outlineLevel="0" collapsed="false">
      <c r="A80" s="23" t="n">
        <v>27</v>
      </c>
      <c r="B80" s="23" t="s">
        <v>95</v>
      </c>
      <c r="C80" s="24" t="n">
        <v>300</v>
      </c>
    </row>
    <row r="81" customFormat="false" ht="15" hidden="false" customHeight="true" outlineLevel="0" collapsed="false">
      <c r="A81" s="23" t="n">
        <v>28</v>
      </c>
      <c r="B81" s="23" t="s">
        <v>97</v>
      </c>
      <c r="C81" s="24" t="n">
        <v>1000</v>
      </c>
    </row>
    <row r="82" customFormat="false" ht="15" hidden="false" customHeight="true" outlineLevel="0" collapsed="false">
      <c r="A82" s="23" t="n">
        <v>29</v>
      </c>
      <c r="B82" s="23" t="s">
        <v>99</v>
      </c>
      <c r="C82" s="24" t="n">
        <v>1000</v>
      </c>
    </row>
    <row r="83" customFormat="false" ht="15" hidden="false" customHeight="true" outlineLevel="0" collapsed="false">
      <c r="A83" s="23" t="n">
        <v>30</v>
      </c>
      <c r="B83" s="23" t="s">
        <v>11</v>
      </c>
      <c r="C83" s="24" t="n">
        <v>10000</v>
      </c>
    </row>
    <row r="84" customFormat="false" ht="15" hidden="false" customHeight="true" outlineLevel="0" collapsed="false">
      <c r="A84" s="23" t="n">
        <v>31</v>
      </c>
      <c r="B84" s="23" t="s">
        <v>102</v>
      </c>
      <c r="C84" s="24" t="n">
        <v>5000</v>
      </c>
    </row>
    <row r="85" customFormat="false" ht="15" hidden="false" customHeight="true" outlineLevel="0" collapsed="false">
      <c r="A85" s="23" t="n">
        <v>32</v>
      </c>
      <c r="B85" s="23" t="s">
        <v>104</v>
      </c>
      <c r="C85" s="24" t="n">
        <v>2000</v>
      </c>
    </row>
    <row r="86" customFormat="false" ht="15" hidden="false" customHeight="true" outlineLevel="0" collapsed="false">
      <c r="A86" s="23" t="n">
        <v>33</v>
      </c>
      <c r="B86" s="23" t="s">
        <v>50</v>
      </c>
      <c r="C86" s="24" t="n">
        <v>350</v>
      </c>
    </row>
    <row r="87" customFormat="false" ht="15" hidden="false" customHeight="true" outlineLevel="0" collapsed="false">
      <c r="A87" s="23" t="n">
        <v>34</v>
      </c>
      <c r="B87" s="23" t="s">
        <v>107</v>
      </c>
      <c r="C87" s="24" t="n">
        <v>1500</v>
      </c>
    </row>
    <row r="88" customFormat="false" ht="15" hidden="false" customHeight="true" outlineLevel="0" collapsed="false">
      <c r="A88" s="23" t="n">
        <v>35</v>
      </c>
      <c r="B88" s="23" t="s">
        <v>109</v>
      </c>
      <c r="C88" s="24" t="n">
        <v>1000</v>
      </c>
    </row>
    <row r="89" customFormat="false" ht="15" hidden="false" customHeight="true" outlineLevel="0" collapsed="false">
      <c r="A89" s="23" t="n">
        <v>36</v>
      </c>
      <c r="B89" s="23" t="s">
        <v>111</v>
      </c>
      <c r="C89" s="24" t="n">
        <v>1000</v>
      </c>
    </row>
    <row r="90" customFormat="false" ht="15" hidden="false" customHeight="true" outlineLevel="0" collapsed="false">
      <c r="A90" s="23" t="n">
        <v>37</v>
      </c>
      <c r="B90" s="23" t="s">
        <v>113</v>
      </c>
      <c r="C90" s="24" t="n">
        <v>6000</v>
      </c>
    </row>
    <row r="91" customFormat="false" ht="15" hidden="false" customHeight="true" outlineLevel="0" collapsed="false">
      <c r="A91" s="23" t="n">
        <v>38</v>
      </c>
      <c r="B91" s="23" t="s">
        <v>19</v>
      </c>
      <c r="C91" s="24" t="n">
        <v>1000</v>
      </c>
    </row>
    <row r="92" customFormat="false" ht="15" hidden="false" customHeight="true" outlineLevel="0" collapsed="false">
      <c r="A92" s="23" t="n">
        <v>39</v>
      </c>
      <c r="B92" s="23" t="s">
        <v>116</v>
      </c>
      <c r="C92" s="24" t="n">
        <v>8000</v>
      </c>
    </row>
    <row r="93" customFormat="false" ht="15" hidden="false" customHeight="true" outlineLevel="0" collapsed="false">
      <c r="A93" s="23" t="n">
        <v>40</v>
      </c>
      <c r="B93" s="23" t="s">
        <v>118</v>
      </c>
      <c r="C93" s="24" t="n">
        <v>250</v>
      </c>
    </row>
    <row r="94" customFormat="false" ht="15" hidden="false" customHeight="true" outlineLevel="0" collapsed="false">
      <c r="A94" s="23" t="n">
        <v>41</v>
      </c>
      <c r="B94" s="23" t="s">
        <v>120</v>
      </c>
      <c r="C94" s="24" t="n">
        <v>1000</v>
      </c>
    </row>
    <row r="95" customFormat="false" ht="15" hidden="false" customHeight="true" outlineLevel="0" collapsed="false">
      <c r="A95" s="23" t="n">
        <v>42</v>
      </c>
      <c r="B95" s="23" t="s">
        <v>104</v>
      </c>
      <c r="C95" s="24" t="n">
        <v>6000</v>
      </c>
    </row>
    <row r="96" customFormat="false" ht="15" hidden="false" customHeight="true" outlineLevel="0" collapsed="false">
      <c r="A96" s="28"/>
      <c r="B96" s="29" t="s">
        <v>2</v>
      </c>
      <c r="C96" s="30" t="n">
        <f aca="false">SUM(C54:C95)</f>
        <v>90800</v>
      </c>
    </row>
    <row r="98" customFormat="false" ht="15" hidden="false" customHeight="true" outlineLevel="0" collapsed="false">
      <c r="A98" s="31"/>
      <c r="B98" s="32" t="s">
        <v>148</v>
      </c>
      <c r="C98" s="33" t="n">
        <f aca="false">C50-C96</f>
        <v>10118</v>
      </c>
    </row>
  </sheetData>
  <mergeCells count="3">
    <mergeCell ref="A1:C1"/>
    <mergeCell ref="A3:C3"/>
    <mergeCell ref="A52:C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8"/>
    <col collapsed="false" customWidth="true" hidden="false" outlineLevel="0" max="2" min="2" style="19" width="40"/>
    <col collapsed="false" customWidth="true" hidden="false" outlineLevel="0" max="3" min="3" style="19" width="16"/>
  </cols>
  <sheetData>
    <row r="1" customFormat="false" ht="17.25" hidden="false" customHeight="true" outlineLevel="0" collapsed="false">
      <c r="A1" s="20" t="s">
        <v>149</v>
      </c>
      <c r="B1" s="20"/>
      <c r="C1" s="20"/>
    </row>
    <row r="3" customFormat="false" ht="15" hidden="false" customHeight="true" outlineLevel="0" collapsed="false">
      <c r="A3" s="21" t="s">
        <v>4</v>
      </c>
      <c r="B3" s="21"/>
      <c r="C3" s="21"/>
    </row>
    <row r="4" customFormat="false" ht="15" hidden="false" customHeight="true" outlineLevel="0" collapsed="false">
      <c r="A4" s="22" t="s">
        <v>6</v>
      </c>
      <c r="B4" s="22" t="s">
        <v>7</v>
      </c>
      <c r="C4" s="22" t="s">
        <v>8</v>
      </c>
    </row>
    <row r="5" customFormat="false" ht="15" hidden="false" customHeight="true" outlineLevel="0" collapsed="false">
      <c r="A5" s="23" t="n">
        <v>1</v>
      </c>
      <c r="B5" s="23" t="s">
        <v>125</v>
      </c>
      <c r="C5" s="24" t="n">
        <v>1750</v>
      </c>
    </row>
    <row r="6" customFormat="false" ht="15" hidden="false" customHeight="true" outlineLevel="0" collapsed="false">
      <c r="A6" s="23" t="n">
        <v>2</v>
      </c>
      <c r="B6" s="23" t="s">
        <v>127</v>
      </c>
      <c r="C6" s="24" t="n">
        <v>5000</v>
      </c>
    </row>
    <row r="7" customFormat="false" ht="15" hidden="false" customHeight="true" outlineLevel="0" collapsed="false">
      <c r="A7" s="23" t="n">
        <v>3</v>
      </c>
      <c r="B7" s="23" t="s">
        <v>129</v>
      </c>
      <c r="C7" s="24" t="n">
        <v>1800</v>
      </c>
    </row>
    <row r="8" customFormat="false" ht="15" hidden="false" customHeight="true" outlineLevel="0" collapsed="false">
      <c r="A8" s="23" t="n">
        <v>4</v>
      </c>
      <c r="B8" s="23" t="s">
        <v>131</v>
      </c>
      <c r="C8" s="24" t="n">
        <v>2000</v>
      </c>
    </row>
    <row r="9" customFormat="false" ht="15" hidden="false" customHeight="true" outlineLevel="0" collapsed="false">
      <c r="A9" s="23" t="n">
        <v>5</v>
      </c>
      <c r="B9" s="23" t="s">
        <v>133</v>
      </c>
      <c r="C9" s="24" t="n">
        <v>10000</v>
      </c>
    </row>
    <row r="10" customFormat="false" ht="15" hidden="false" customHeight="true" outlineLevel="0" collapsed="false">
      <c r="A10" s="23" t="n">
        <v>6</v>
      </c>
      <c r="B10" s="23" t="s">
        <v>134</v>
      </c>
      <c r="C10" s="24" t="n">
        <v>2000</v>
      </c>
    </row>
    <row r="11" customFormat="false" ht="15" hidden="false" customHeight="true" outlineLevel="0" collapsed="false">
      <c r="A11" s="23" t="n">
        <v>7</v>
      </c>
      <c r="B11" s="23" t="s">
        <v>135</v>
      </c>
      <c r="C11" s="24" t="n">
        <v>6000</v>
      </c>
    </row>
    <row r="12" customFormat="false" ht="15" hidden="false" customHeight="true" outlineLevel="0" collapsed="false">
      <c r="A12" s="23" t="n">
        <v>8</v>
      </c>
      <c r="B12" s="23" t="s">
        <v>136</v>
      </c>
      <c r="C12" s="24" t="n">
        <v>5000</v>
      </c>
    </row>
    <row r="13" customFormat="false" ht="15" hidden="false" customHeight="true" outlineLevel="0" collapsed="false">
      <c r="A13" s="23" t="n">
        <v>9</v>
      </c>
      <c r="B13" s="23" t="s">
        <v>137</v>
      </c>
      <c r="C13" s="24" t="n">
        <v>5000</v>
      </c>
    </row>
    <row r="14" customFormat="false" ht="15" hidden="false" customHeight="true" outlineLevel="0" collapsed="false">
      <c r="A14" s="23" t="n">
        <v>10</v>
      </c>
      <c r="B14" s="23" t="s">
        <v>67</v>
      </c>
      <c r="C14" s="24" t="n">
        <v>1800</v>
      </c>
    </row>
    <row r="15" customFormat="false" ht="15" hidden="false" customHeight="true" outlineLevel="0" collapsed="false">
      <c r="A15" s="23" t="n">
        <v>11</v>
      </c>
      <c r="B15" s="23" t="s">
        <v>138</v>
      </c>
      <c r="C15" s="24" t="n">
        <v>1000</v>
      </c>
    </row>
    <row r="16" customFormat="false" ht="15" hidden="false" customHeight="true" outlineLevel="0" collapsed="false">
      <c r="A16" s="23" t="n">
        <v>12</v>
      </c>
      <c r="B16" s="23" t="s">
        <v>139</v>
      </c>
      <c r="C16" s="24" t="n">
        <v>1000</v>
      </c>
    </row>
    <row r="17" customFormat="false" ht="15" hidden="false" customHeight="true" outlineLevel="0" collapsed="false">
      <c r="A17" s="23" t="n">
        <v>13</v>
      </c>
      <c r="B17" s="23" t="s">
        <v>140</v>
      </c>
      <c r="C17" s="24" t="n">
        <v>2000</v>
      </c>
    </row>
    <row r="18" customFormat="false" ht="15" hidden="false" customHeight="true" outlineLevel="0" collapsed="false">
      <c r="A18" s="23" t="n">
        <v>14</v>
      </c>
      <c r="B18" s="23" t="s">
        <v>77</v>
      </c>
      <c r="C18" s="24" t="n">
        <v>2500</v>
      </c>
    </row>
    <row r="19" customFormat="false" ht="15" hidden="false" customHeight="true" outlineLevel="0" collapsed="false">
      <c r="A19" s="23" t="n">
        <v>15</v>
      </c>
      <c r="B19" s="23" t="s">
        <v>141</v>
      </c>
      <c r="C19" s="24" t="n">
        <v>5000</v>
      </c>
    </row>
    <row r="20" customFormat="false" ht="15" hidden="false" customHeight="true" outlineLevel="0" collapsed="false">
      <c r="A20" s="23" t="n">
        <v>16</v>
      </c>
      <c r="B20" s="23" t="s">
        <v>142</v>
      </c>
      <c r="C20" s="24" t="n">
        <v>10000</v>
      </c>
    </row>
    <row r="21" customFormat="false" ht="15" hidden="false" customHeight="true" outlineLevel="0" collapsed="false">
      <c r="A21" s="25"/>
      <c r="B21" s="26" t="s">
        <v>1</v>
      </c>
      <c r="C21" s="27" t="n">
        <f aca="false">SUM(C5:C20)</f>
        <v>61850</v>
      </c>
    </row>
    <row r="23" customFormat="false" ht="15" hidden="false" customHeight="true" outlineLevel="0" collapsed="false">
      <c r="A23" s="21" t="s">
        <v>5</v>
      </c>
      <c r="B23" s="21"/>
      <c r="C23" s="21"/>
    </row>
    <row r="24" customFormat="false" ht="15" hidden="false" customHeight="true" outlineLevel="0" collapsed="false">
      <c r="A24" s="22" t="s">
        <v>6</v>
      </c>
      <c r="B24" s="22" t="s">
        <v>7</v>
      </c>
      <c r="C24" s="22" t="s">
        <v>8</v>
      </c>
    </row>
    <row r="25" customFormat="false" ht="15" hidden="false" customHeight="true" outlineLevel="0" collapsed="false">
      <c r="A25" s="23" t="n">
        <v>1</v>
      </c>
      <c r="B25" s="23" t="s">
        <v>123</v>
      </c>
      <c r="C25" s="24" t="n">
        <v>14000</v>
      </c>
    </row>
    <row r="26" customFormat="false" ht="15" hidden="false" customHeight="true" outlineLevel="0" collapsed="false">
      <c r="A26" s="23" t="n">
        <v>2</v>
      </c>
      <c r="B26" s="23" t="s">
        <v>123</v>
      </c>
      <c r="C26" s="24" t="n">
        <v>10000</v>
      </c>
    </row>
    <row r="27" customFormat="false" ht="15" hidden="false" customHeight="true" outlineLevel="0" collapsed="false">
      <c r="A27" s="23" t="n">
        <v>3</v>
      </c>
      <c r="B27" s="23" t="s">
        <v>126</v>
      </c>
      <c r="C27" s="24" t="n">
        <v>750</v>
      </c>
    </row>
    <row r="28" customFormat="false" ht="15" hidden="false" customHeight="true" outlineLevel="0" collapsed="false">
      <c r="A28" s="23" t="n">
        <v>4</v>
      </c>
      <c r="B28" s="23" t="s">
        <v>128</v>
      </c>
      <c r="C28" s="24" t="n">
        <v>1000</v>
      </c>
    </row>
    <row r="29" customFormat="false" ht="15" hidden="false" customHeight="true" outlineLevel="0" collapsed="false">
      <c r="A29" s="23" t="n">
        <v>5</v>
      </c>
      <c r="B29" s="23" t="s">
        <v>130</v>
      </c>
      <c r="C29" s="24" t="n">
        <v>180</v>
      </c>
    </row>
    <row r="30" customFormat="false" ht="15" hidden="false" customHeight="true" outlineLevel="0" collapsed="false">
      <c r="A30" s="23" t="n">
        <v>6</v>
      </c>
      <c r="B30" s="23" t="s">
        <v>132</v>
      </c>
      <c r="C30" s="24" t="n">
        <v>4000</v>
      </c>
    </row>
    <row r="31" customFormat="false" ht="15" hidden="false" customHeight="true" outlineLevel="0" collapsed="false">
      <c r="A31" s="28"/>
      <c r="B31" s="29" t="s">
        <v>2</v>
      </c>
      <c r="C31" s="30" t="n">
        <f aca="false">SUM(C25:C30)</f>
        <v>29930</v>
      </c>
    </row>
    <row r="33" customFormat="false" ht="15" hidden="false" customHeight="true" outlineLevel="0" collapsed="false">
      <c r="A33" s="31"/>
      <c r="B33" s="32" t="s">
        <v>150</v>
      </c>
      <c r="C33" s="33" t="n">
        <f aca="false">C21-C31</f>
        <v>31920</v>
      </c>
    </row>
  </sheetData>
  <mergeCells count="3">
    <mergeCell ref="A1:C1"/>
    <mergeCell ref="A3:C3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30"/>
    <col collapsed="false" customWidth="true" hidden="false" outlineLevel="0" max="2" min="2" style="19" width="18"/>
    <col collapsed="false" customWidth="true" hidden="false" outlineLevel="0" max="3" min="3" style="19" width="20"/>
    <col collapsed="false" customWidth="true" hidden="false" outlineLevel="0" max="4" min="4" style="19" width="16"/>
  </cols>
  <sheetData>
    <row r="1" customFormat="false" ht="17.25" hidden="false" customHeight="true" outlineLevel="0" collapsed="false">
      <c r="A1" s="20" t="s">
        <v>151</v>
      </c>
      <c r="B1" s="20"/>
      <c r="C1" s="20"/>
      <c r="D1" s="20"/>
    </row>
    <row r="3" customFormat="false" ht="15" hidden="false" customHeight="true" outlineLevel="0" collapsed="false">
      <c r="A3" s="22" t="s">
        <v>152</v>
      </c>
      <c r="B3" s="22" t="s">
        <v>153</v>
      </c>
      <c r="C3" s="22" t="s">
        <v>154</v>
      </c>
      <c r="D3" s="22" t="s">
        <v>155</v>
      </c>
    </row>
    <row r="4" customFormat="false" ht="15" hidden="false" customHeight="true" outlineLevel="0" collapsed="false">
      <c r="A4" s="23" t="s">
        <v>156</v>
      </c>
      <c r="B4" s="24" t="n">
        <f aca="false">Raja!C29</f>
        <v>96500</v>
      </c>
      <c r="C4" s="24" t="n">
        <f aca="false">Raja!C58</f>
        <v>60390</v>
      </c>
      <c r="D4" s="24" t="n">
        <f aca="false">B4-C4</f>
        <v>36110</v>
      </c>
    </row>
    <row r="5" customFormat="false" ht="15" hidden="false" customHeight="true" outlineLevel="0" collapsed="false">
      <c r="A5" s="23" t="s">
        <v>157</v>
      </c>
      <c r="B5" s="24" t="n">
        <f aca="false">Santhu!C50</f>
        <v>100918</v>
      </c>
      <c r="C5" s="24" t="n">
        <f aca="false">Santhu!C96</f>
        <v>90800</v>
      </c>
      <c r="D5" s="24" t="n">
        <f aca="false">B5-C5</f>
        <v>10118</v>
      </c>
    </row>
    <row r="6" customFormat="false" ht="15" hidden="false" customHeight="true" outlineLevel="0" collapsed="false">
      <c r="A6" s="23" t="s">
        <v>158</v>
      </c>
      <c r="B6" s="24" t="n">
        <f aca="false">Annadhanam!C21</f>
        <v>61850</v>
      </c>
      <c r="C6" s="24" t="n">
        <f aca="false">Annadhanam!C31</f>
        <v>29930</v>
      </c>
      <c r="D6" s="24" t="n">
        <f aca="false">B6-C6</f>
        <v>31920</v>
      </c>
    </row>
    <row r="7" customFormat="false" ht="15" hidden="false" customHeight="true" outlineLevel="0" collapsed="false">
      <c r="A7" s="33" t="s">
        <v>159</v>
      </c>
      <c r="B7" s="33" t="n">
        <f aca="false">B4+B5</f>
        <v>197418</v>
      </c>
      <c r="C7" s="33" t="n">
        <f aca="false">C4+C5</f>
        <v>151190</v>
      </c>
      <c r="D7" s="33" t="n">
        <f aca="false">D4+D5</f>
        <v>46228</v>
      </c>
    </row>
    <row r="8" customFormat="false" ht="15" hidden="false" customHeight="true" outlineLevel="0" collapsed="false">
      <c r="A8" s="34" t="s">
        <v>160</v>
      </c>
      <c r="B8" s="34" t="n">
        <f aca="false">B4+B5+B6</f>
        <v>259268</v>
      </c>
      <c r="C8" s="34" t="n">
        <f aca="false">C4+C5+C6</f>
        <v>181120</v>
      </c>
      <c r="D8" s="34" t="n">
        <f aca="false">D4+D5+D6</f>
        <v>78148</v>
      </c>
    </row>
    <row r="10" customFormat="false" ht="15" hidden="false" customHeight="true" outlineLevel="0" collapsed="false">
      <c r="A10" s="35" t="s">
        <v>161</v>
      </c>
      <c r="B10" s="35"/>
      <c r="C10" s="35"/>
      <c r="D10" s="35"/>
    </row>
  </sheetData>
  <mergeCells count="2">
    <mergeCell ref="A1:D1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2026-09-27T02:53:01Z</dcterms:created>
  <dc:creator>openpyxl</dc:creator>
  <dc:description/>
  <dc:language>en-US</dc:language>
  <cp:lastModifiedBy/>
  <dcterms:modified xsi:type="dcterms:W3CDTF">2026-10-04T04:53:16Z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